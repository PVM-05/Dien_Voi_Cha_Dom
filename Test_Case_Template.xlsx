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801" firstSheet="0" activeTab="3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Glossary" sheetId="2" state="visible" r:id="rId2"/>
    <sheet xmlns:r="http://schemas.openxmlformats.org/officeDocument/2006/relationships" name="Function Test Cases" sheetId="3" state="visible" r:id="rId3"/>
    <sheet xmlns:r="http://schemas.openxmlformats.org/officeDocument/2006/relationships" name="Security_Performanc Test Cases" sheetId="4" state="visible" r:id="rId4"/>
    <sheet xmlns:r="http://schemas.openxmlformats.org/officeDocument/2006/relationships" name="Defect Tracking Log" sheetId="5" state="visible" r:id="rId5"/>
  </sheets>
  <definedNames>
    <definedName name="d">'Function Test Cases'!$L$4</definedName>
    <definedName name="_Toc506113793" localSheetId="0">'Cover page'!$B$16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9">
    <font>
      <name val="Arial"/>
      <sz val="10"/>
    </font>
    <font>
      <name val="Arial"/>
      <family val="2"/>
      <sz val="10"/>
    </font>
    <font>
      <name val="Arial"/>
      <family val="2"/>
      <i val="1"/>
      <color indexed="12"/>
      <sz val="10"/>
    </font>
    <font>
      <name val="Arial Narrow"/>
      <family val="2"/>
      <b val="1"/>
      <sz val="10"/>
    </font>
    <font>
      <name val="Arial Narrow"/>
      <family val="2"/>
      <i val="1"/>
      <sz val="22"/>
    </font>
    <font>
      <name val="Arial Narrow"/>
      <family val="2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Tahoma"/>
      <family val="2"/>
      <color indexed="81"/>
      <sz val="8"/>
    </font>
    <font>
      <name val="Tahoma"/>
      <family val="2"/>
      <b val="1"/>
      <color indexed="81"/>
      <sz val="8"/>
    </font>
    <font>
      <name val="Arial"/>
      <family val="2"/>
      <i val="1"/>
      <sz val="10"/>
    </font>
    <font>
      <name val="Arial"/>
      <family val="2"/>
      <b val="1"/>
      <color indexed="18"/>
      <sz val="22"/>
    </font>
    <font>
      <name val="Arial"/>
      <family val="2"/>
      <b val="1"/>
      <sz val="18"/>
    </font>
    <font>
      <name val="Arial Narrow"/>
      <family val="2"/>
      <i val="1"/>
      <color indexed="12"/>
      <sz val="11"/>
    </font>
    <font>
      <b val="1"/>
      <color rgb="001F4E79"/>
      <sz val="13"/>
    </font>
    <font>
      <b val="1"/>
      <color rgb="00FFFFFF"/>
    </font>
    <font>
      <b val="1"/>
      <color rgb="0015803D"/>
    </font>
  </fonts>
  <fills count="5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001F4E79"/>
        <bgColor rgb="001F4E7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top" textRotation="90"/>
    </xf>
    <xf numFmtId="0" fontId="15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6" fillId="0" borderId="3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4" applyAlignment="1" pivotButton="0" quotePrefix="0" xfId="0">
      <alignment horizontal="left"/>
    </xf>
    <xf numFmtId="164" fontId="5" fillId="0" borderId="3" applyAlignment="1" pivotButton="0" quotePrefix="0" xfId="0">
      <alignment horizontal="left" vertical="top" wrapText="1"/>
    </xf>
    <xf numFmtId="164" fontId="5" fillId="0" borderId="4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13" fillId="0" borderId="0" applyAlignment="1" applyProtection="1" pivotButton="0" quotePrefix="0" xfId="0">
      <alignment horizontal="center"/>
      <protection locked="0" hidden="0"/>
    </xf>
    <xf numFmtId="0" fontId="14" fillId="0" borderId="0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1" applyAlignment="1" pivotButton="0" quotePrefix="0" xfId="0">
      <alignment horizontal="center" textRotation="90"/>
    </xf>
    <xf numFmtId="0" fontId="0" fillId="0" borderId="1" applyAlignment="1" pivotButton="0" quotePrefix="0" xfId="0">
      <alignment horizontal="left" vertical="top"/>
    </xf>
    <xf numFmtId="0" fontId="12" fillId="0" borderId="1" applyAlignment="1" pivotButton="0" quotePrefix="1" xfId="0">
      <alignment horizontal="left" wrapText="1"/>
    </xf>
    <xf numFmtId="0" fontId="0" fillId="0" borderId="1" applyAlignment="1" pivotButton="0" quotePrefix="0" xfId="0">
      <alignment horizontal="center"/>
    </xf>
    <xf numFmtId="0" fontId="4" fillId="3" borderId="6" applyAlignment="1" pivotButton="0" quotePrefix="0" xfId="0">
      <alignment horizontal="left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1" pivotButton="0" quotePrefix="0" xfId="0"/>
    <xf numFmtId="0" fontId="16" fillId="0" borderId="0" pivotButton="0" quotePrefix="0" xfId="0"/>
    <xf numFmtId="0" fontId="17" fillId="4" borderId="0" pivotButton="0" quotePrefix="0" xfId="0"/>
    <xf numFmtId="0" fontId="17" fillId="4" borderId="0" applyAlignment="1" pivotButton="0" quotePrefix="0" xfId="0">
      <alignment horizontal="right"/>
    </xf>
    <xf numFmtId="0" fontId="17" fillId="4" borderId="0" applyAlignment="1" pivotButton="0" quotePrefix="0" xfId="0">
      <alignment horizontal="right" vertical="top"/>
    </xf>
    <xf numFmtId="0" fontId="18" fillId="0" borderId="0" applyAlignment="1" pivotButton="0" quotePrefix="0" xfId="0">
      <alignment horizontal="right" vertical="top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DUCHU</author>
  </authors>
  <commentList>
    <comment ref="B7" authorId="0" shapeId="0">
      <text>
        <t>DUCHU:
Use this column to group test cases. If no goup is identified, hide this column.</t>
      </text>
    </comment>
    <comment ref="C7" authorId="0" shapeId="0">
      <text>
        <t>DUCHU:
- Each test case is identified by a Test Case ID that can be referenced from other testing software and all testers regardless of access to. 
- Insert rows for new test cases</t>
      </text>
    </comment>
    <comment ref="D7" authorId="0" shapeId="0">
      <text>
        <t>DUCHU: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ref="E7" authorId="0" shapeId="0">
      <text>
        <t>DUCHU:
Ignore this column (hide the columns) if test procedures are not required</t>
      </text>
    </comment>
    <comment ref="G7" authorId="0" shapeId="0">
      <text>
        <t>DUCHU:
- Expected Results are the resulting state or data received upon completion of executing this test case</t>
      </text>
    </comment>
    <comment ref="H7" authorId="0" shapeId="0">
      <text>
        <t>DUCHU:
- An executed test case can be either:
 + Passed
 + Failed
- A test case can have Not Run status if it is not executed yet
- A test case can hae Not Completed status if its execution is not completed</t>
      </text>
    </comment>
    <comment ref="E8" authorId="0" shapeId="0">
      <text>
        <t>DUCHU:
- It is recommended to use 1 row for a step.</t>
      </text>
    </comment>
    <comment ref="F8" authorId="0" shapeId="0">
      <text>
        <t>DUCHU:
Optional</t>
      </text>
    </comment>
  </commentList>
</comments>
</file>

<file path=xl/comments/comment2.xml><?xml version="1.0" encoding="utf-8"?>
<comments xmlns="http://schemas.openxmlformats.org/spreadsheetml/2006/main">
  <authors>
    <author>DUCHU</author>
  </authors>
  <commentList>
    <comment ref="B7" authorId="0" shapeId="0">
      <text>
        <t>DUCHU:
Use this column to group test cases. If no goup is identified, hide this column.</t>
      </text>
    </comment>
    <comment ref="C7" authorId="0" shapeId="0">
      <text>
        <t>DUCHU:
- Each test case is identified by a Test Case ID that can be referenced from other testing software and all testers regardless of access to. 
- Insert rows for new test cases</t>
      </text>
    </comment>
    <comment ref="D7" authorId="0" shapeId="0">
      <text>
        <t>DUCHU: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ref="E7" authorId="0" shapeId="0">
      <text>
        <t>DUCHU:
Ignore this column (hide the columns) if test procedures are not required</t>
      </text>
    </comment>
    <comment ref="G7" authorId="0" shapeId="0">
      <text>
        <t>DUCHU:
- Expected Results are the resulting state or data received upon completion of executing this test case</t>
      </text>
    </comment>
    <comment ref="H7" authorId="0" shapeId="0">
      <text>
        <t>DUCHU:
- An executed test case can be either:
 + Passed
 + Failed
- A test case can have Not Run status if it is not executed yet
- A test case can hae Not Completed status if its execution is not completed</t>
      </text>
    </comment>
    <comment ref="E8" authorId="0" shapeId="0">
      <text>
        <t>DUCHU:
- It is recommended to use 1 row for a step.</t>
      </text>
    </comment>
    <comment ref="F8" authorId="0" shapeId="0">
      <text>
        <t>DUCHU:
Optional</t>
      </text>
    </comment>
  </commentList>
</comments>
</file>

<file path=xl/comments/comment3.xml><?xml version="1.0" encoding="utf-8"?>
<comments xmlns="http://schemas.openxmlformats.org/spreadsheetml/2006/main">
  <authors>
    <author>DUCHU</author>
  </authors>
  <commentList>
    <comment ref="B7" authorId="0" shapeId="0">
      <text>
        <t>DUCHU:
Use this column to group test cases. If no goup is identified, hide this column.</t>
      </text>
    </comment>
    <comment ref="C7" authorId="0" shapeId="0">
      <text>
        <t>DUCHU:
- Each test case is identified by a Test Case ID that can be referenced from other testing software and all testers regardless of access to. 
- Insert rows for new test cases</t>
      </text>
    </comment>
    <comment ref="D7" authorId="0" shapeId="0">
      <text>
        <t>DUCHU:
- [Test Description] is the actual description of the flow of events or actual condition being tested.  This individual table cell will be selected as the testing requirement
- Describe the test including:
  + Pre-Condition / where the user starts test
  + Test Description
  + Post-Condition
  + Test Input: the objects or fields the actor interacts with and the specific data values entered (or object states created) by the actor when executing this test case.
  + Any other comments / assumption</t>
      </text>
    </comment>
    <comment ref="E7" authorId="0" shapeId="0">
      <text>
        <t>DUCHU:
Ignore this column (hide the columns) if test procedures are not required</t>
      </text>
    </comment>
    <comment ref="G7" authorId="0" shapeId="0">
      <text>
        <t>DUCHU:
- Expected Results are the resulting state or data received upon completion of executing this test case</t>
      </text>
    </comment>
    <comment ref="H7" authorId="0" shapeId="0">
      <text>
        <t>DUCHU:
- An executed test case can be either:
 + Passed
 + Failed
- A test case can have Not Run status if it is not executed yet
- A test case can hae Not Completed status if its execution is not completed</t>
      </text>
    </comment>
    <comment ref="E8" authorId="0" shapeId="0">
      <text>
        <t>DUCHU:
- It is recommended to use 1 row for a step.</t>
      </text>
    </comment>
    <comment ref="F8" authorId="0" shapeId="0">
      <text>
        <t>DUCHU:
Optional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topLeftCell="A9" zoomScale="125" workbookViewId="0">
      <selection activeCell="B23" sqref="B23:M23"/>
    </sheetView>
  </sheetViews>
  <sheetFormatPr baseColWidth="10" defaultColWidth="9.1640625" defaultRowHeight="13"/>
  <cols>
    <col width="1.1640625" customWidth="1" style="2" min="1" max="1"/>
    <col width="9.1640625" customWidth="1" style="2" min="2" max="16384"/>
  </cols>
  <sheetData>
    <row r="1" customFormat="1" s="4">
      <c r="A1" s="30" t="n"/>
      <c r="N1" s="34" t="inlineStr">
        <is>
          <t>Pls. Place customer logo (if any) here</t>
        </is>
      </c>
    </row>
    <row r="2" customFormat="1" s="4"/>
    <row r="3" customFormat="1" s="4"/>
    <row r="4" customFormat="1" s="4"/>
    <row r="5" customFormat="1" s="4"/>
    <row r="9" ht="28" customFormat="1" customHeight="1" s="5">
      <c r="A9" s="4" t="n"/>
      <c r="B9" s="4" t="n"/>
      <c r="C9" s="4" t="n"/>
      <c r="D9" s="4" t="n"/>
      <c r="E9" s="4" t="n"/>
      <c r="F9" s="32" t="inlineStr">
        <is>
          <t>HỆ THỐNG TÍNH TIỀN ĐIỆN SINH HOẠT THEO BIỂU GIÁ BẬC THANG EVN</t>
        </is>
      </c>
      <c r="G9" s="49" t="n"/>
      <c r="H9" s="49" t="n"/>
      <c r="I9" s="49" t="n"/>
      <c r="J9" s="49" t="n"/>
      <c r="K9" s="49" t="n"/>
    </row>
    <row r="10" ht="23" customFormat="1" customHeight="1" s="6">
      <c r="A10" s="5" t="n"/>
      <c r="B10" s="5" t="n"/>
      <c r="C10" s="5" t="n"/>
      <c r="D10" s="5" t="n"/>
      <c r="E10" s="33" t="inlineStr">
        <is>
          <t>Test Cases (for use case/req list ABC)</t>
        </is>
      </c>
      <c r="F10" s="49" t="n"/>
      <c r="G10" s="49" t="n"/>
      <c r="H10" s="49" t="n"/>
      <c r="I10" s="49" t="n"/>
      <c r="J10" s="49" t="n"/>
      <c r="K10" s="49" t="n"/>
      <c r="L10" s="49" t="n"/>
    </row>
    <row r="11" customFormat="1" s="6">
      <c r="F11" s="7" t="n"/>
      <c r="G11" s="7" t="n"/>
      <c r="H11" s="7" t="n"/>
      <c r="I11" s="7" t="n"/>
      <c r="J11" s="7" t="n"/>
    </row>
    <row r="12" customFormat="1" s="6">
      <c r="F12" s="7" t="n"/>
      <c r="G12" s="7" t="n"/>
      <c r="H12" s="7" t="n"/>
      <c r="I12" s="7" t="n"/>
      <c r="J12" s="7" t="n"/>
    </row>
    <row r="13">
      <c r="A13" s="6" t="n"/>
      <c r="B13" s="31" t="inlineStr">
        <is>
          <t>Header</t>
        </is>
      </c>
    </row>
    <row r="14" ht="12.75" customHeight="1">
      <c r="B14" s="17" t="inlineStr">
        <is>
          <t>Date</t>
        </is>
      </c>
      <c r="C14" s="50" t="n"/>
      <c r="D14" s="17" t="inlineStr">
        <is>
          <t>Version</t>
        </is>
      </c>
      <c r="E14" s="50" t="n"/>
      <c r="F14" s="17" t="inlineStr">
        <is>
          <t>Status</t>
        </is>
      </c>
      <c r="G14" s="50" t="n"/>
      <c r="H14" s="17" t="inlineStr">
        <is>
          <t>Author</t>
        </is>
      </c>
      <c r="I14" s="51" t="n"/>
      <c r="J14" s="50" t="n"/>
      <c r="K14" s="17" t="inlineStr">
        <is>
          <t>Reviewed by</t>
        </is>
      </c>
      <c r="L14" s="51" t="n"/>
      <c r="M14" s="50" t="n"/>
      <c r="N14" s="17" t="inlineStr">
        <is>
          <t>Approved by</t>
        </is>
      </c>
      <c r="O14" s="51" t="n"/>
      <c r="P14" s="50" t="n"/>
    </row>
    <row r="15">
      <c r="B15" s="26" t="inlineStr">
        <is>
          <t>23/09/2026</t>
        </is>
      </c>
      <c r="C15" s="50" t="n"/>
      <c r="D15" s="27" t="inlineStr">
        <is>
          <t>1.0</t>
        </is>
      </c>
      <c r="E15" s="50" t="n"/>
      <c r="F15" s="18" t="n"/>
      <c r="G15" s="50" t="n"/>
      <c r="H15" s="20" t="n"/>
      <c r="I15" s="51" t="n"/>
      <c r="J15" s="50" t="n"/>
      <c r="K15" s="20" t="n"/>
      <c r="L15" s="51" t="n"/>
      <c r="M15" s="50" t="n"/>
      <c r="N15" s="20" t="n"/>
      <c r="O15" s="51" t="n"/>
      <c r="P15" s="50" t="n"/>
    </row>
    <row r="16">
      <c r="B16" s="29" t="inlineStr">
        <is>
          <t>Revision History</t>
        </is>
      </c>
      <c r="C16" s="52" t="n"/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</row>
    <row r="17">
      <c r="B17" s="17" t="inlineStr">
        <is>
          <t>Date</t>
        </is>
      </c>
      <c r="C17" s="50" t="n"/>
      <c r="D17" s="17" t="inlineStr">
        <is>
          <t>Version</t>
        </is>
      </c>
      <c r="E17" s="50" t="n"/>
      <c r="F17" s="17" t="inlineStr">
        <is>
          <t>Description</t>
        </is>
      </c>
      <c r="G17" s="51" t="n"/>
      <c r="H17" s="51" t="n"/>
      <c r="I17" s="51" t="n"/>
      <c r="J17" s="50" t="n"/>
      <c r="K17" s="17" t="inlineStr">
        <is>
          <t>Author</t>
        </is>
      </c>
      <c r="L17" s="51" t="n"/>
      <c r="M17" s="50" t="n"/>
    </row>
    <row r="18">
      <c r="B18" s="26" t="inlineStr">
        <is>
          <t>23/09/2026</t>
        </is>
      </c>
      <c r="C18" s="50" t="n"/>
      <c r="D18" s="27" t="inlineStr">
        <is>
          <t>1.0</t>
        </is>
      </c>
      <c r="E18" s="50" t="n"/>
      <c r="F18" s="21" t="n"/>
      <c r="G18" s="51" t="n"/>
      <c r="H18" s="51" t="n"/>
      <c r="I18" s="51" t="n"/>
      <c r="J18" s="51" t="n"/>
      <c r="K18" s="20" t="n"/>
      <c r="L18" s="51" t="n"/>
      <c r="M18" s="50" t="n"/>
    </row>
    <row r="19">
      <c r="B19" s="26" t="n"/>
      <c r="C19" s="50" t="n"/>
      <c r="D19" s="18" t="n"/>
      <c r="E19" s="50" t="n"/>
      <c r="F19" s="21" t="n"/>
      <c r="G19" s="51" t="n"/>
      <c r="H19" s="51" t="n"/>
      <c r="I19" s="51" t="n"/>
      <c r="J19" s="51" t="n"/>
      <c r="K19" s="20" t="n"/>
      <c r="L19" s="51" t="n"/>
      <c r="M19" s="50" t="n"/>
    </row>
    <row r="20">
      <c r="B20" s="26" t="n"/>
      <c r="C20" s="50" t="n"/>
      <c r="D20" s="18" t="n"/>
      <c r="E20" s="50" t="n"/>
      <c r="F20" s="21" t="n"/>
      <c r="G20" s="51" t="n"/>
      <c r="H20" s="51" t="n"/>
      <c r="I20" s="51" t="n"/>
      <c r="J20" s="51" t="n"/>
      <c r="K20" s="20" t="n"/>
      <c r="L20" s="51" t="n"/>
      <c r="M20" s="50" t="n"/>
    </row>
    <row r="21">
      <c r="B21" s="26" t="n"/>
      <c r="C21" s="50" t="n"/>
      <c r="D21" s="18" t="n"/>
      <c r="E21" s="50" t="n"/>
      <c r="F21" s="21" t="n"/>
      <c r="G21" s="51" t="n"/>
      <c r="H21" s="51" t="n"/>
      <c r="I21" s="51" t="n"/>
      <c r="J21" s="51" t="n"/>
      <c r="K21" s="20" t="n"/>
      <c r="L21" s="51" t="n"/>
      <c r="M21" s="50" t="n"/>
    </row>
    <row r="22">
      <c r="B22" s="26" t="n"/>
      <c r="C22" s="50" t="n"/>
      <c r="D22" s="18" t="n"/>
      <c r="E22" s="50" t="n"/>
      <c r="F22" s="21" t="n"/>
      <c r="G22" s="51" t="n"/>
      <c r="H22" s="51" t="n"/>
      <c r="I22" s="51" t="n"/>
      <c r="J22" s="51" t="n"/>
      <c r="K22" s="20" t="n"/>
      <c r="L22" s="51" t="n"/>
      <c r="M22" s="50" t="n"/>
    </row>
    <row r="23" customFormat="1" s="4">
      <c r="B23" s="28" t="inlineStr">
        <is>
          <t>References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</row>
    <row r="24" customFormat="1" s="4">
      <c r="B24" s="17" t="inlineStr">
        <is>
          <t>Name</t>
        </is>
      </c>
      <c r="C24" s="51" t="n"/>
      <c r="D24" s="51" t="n"/>
      <c r="E24" s="51" t="n"/>
      <c r="F24" s="51" t="n"/>
      <c r="G24" s="51" t="n"/>
      <c r="H24" s="50" t="n"/>
      <c r="I24" s="17" t="inlineStr">
        <is>
          <t>Version</t>
        </is>
      </c>
      <c r="J24" s="50" t="n"/>
      <c r="K24" s="17" t="inlineStr">
        <is>
          <t>Path</t>
        </is>
      </c>
      <c r="L24" s="51" t="n"/>
      <c r="M24" s="50" t="n"/>
    </row>
    <row r="25" customFormat="1" s="4">
      <c r="B25" s="19" t="n"/>
      <c r="C25" s="51" t="n"/>
      <c r="D25" s="51" t="n"/>
      <c r="E25" s="51" t="n"/>
      <c r="F25" s="51" t="n"/>
      <c r="G25" s="51" t="n"/>
      <c r="H25" s="50" t="n"/>
      <c r="I25" s="18" t="n"/>
      <c r="J25" s="50" t="n"/>
      <c r="K25" s="18" t="n"/>
      <c r="L25" s="51" t="n"/>
      <c r="M25" s="50" t="n"/>
    </row>
    <row r="26" customFormat="1" s="4">
      <c r="B26" s="19" t="n"/>
      <c r="C26" s="51" t="n"/>
      <c r="D26" s="51" t="n"/>
      <c r="E26" s="51" t="n"/>
      <c r="F26" s="51" t="n"/>
      <c r="G26" s="51" t="n"/>
      <c r="H26" s="50" t="n"/>
      <c r="I26" s="18" t="n"/>
      <c r="J26" s="50" t="n"/>
      <c r="K26" s="18" t="n"/>
      <c r="L26" s="51" t="n"/>
      <c r="M26" s="50" t="n"/>
    </row>
    <row r="27">
      <c r="B27" s="28" t="inlineStr">
        <is>
          <t>Execution History</t>
        </is>
      </c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</row>
    <row r="28">
      <c r="B28" s="17" t="inlineStr">
        <is>
          <t>Date of Execution</t>
        </is>
      </c>
      <c r="C28" s="50" t="n"/>
      <c r="D28" s="17" t="inlineStr">
        <is>
          <t>Executed by</t>
        </is>
      </c>
      <c r="E28" s="51" t="n"/>
      <c r="F28" s="50" t="n"/>
      <c r="G28" s="17" t="inlineStr">
        <is>
          <t>Build Under Test</t>
        </is>
      </c>
      <c r="H28" s="50" t="n"/>
    </row>
    <row r="29">
      <c r="B29" s="26" t="n"/>
      <c r="C29" s="50" t="n"/>
      <c r="D29" s="20" t="n"/>
      <c r="E29" s="51" t="n"/>
      <c r="F29" s="50" t="n"/>
      <c r="G29" s="18" t="n"/>
      <c r="H29" s="50" t="n"/>
    </row>
    <row r="30">
      <c r="B30" s="26" t="n"/>
      <c r="C30" s="50" t="n"/>
      <c r="D30" s="20" t="n"/>
      <c r="E30" s="51" t="n"/>
      <c r="F30" s="50" t="n"/>
      <c r="G30" s="18" t="n"/>
      <c r="H30" s="50" t="n"/>
    </row>
    <row r="31">
      <c r="B31" s="26" t="n"/>
      <c r="C31" s="50" t="n"/>
      <c r="D31" s="20" t="n"/>
      <c r="E31" s="51" t="n"/>
      <c r="F31" s="50" t="n"/>
      <c r="G31" s="18" t="n"/>
      <c r="H31" s="50" t="n"/>
    </row>
    <row r="32">
      <c r="B32" s="26" t="n"/>
      <c r="C32" s="50" t="n"/>
      <c r="D32" s="20" t="n"/>
      <c r="E32" s="51" t="n"/>
      <c r="F32" s="50" t="n"/>
      <c r="G32" s="18" t="n"/>
      <c r="H32" s="50" t="n"/>
    </row>
    <row r="33">
      <c r="B33" s="26" t="n"/>
      <c r="C33" s="50" t="n"/>
      <c r="D33" s="20" t="n"/>
      <c r="E33" s="51" t="n"/>
      <c r="F33" s="50" t="n"/>
      <c r="G33" s="18" t="n"/>
      <c r="H33" s="50" t="n"/>
    </row>
    <row r="34">
      <c r="B34" s="26" t="n"/>
      <c r="C34" s="50" t="n"/>
      <c r="D34" s="20" t="n"/>
      <c r="E34" s="51" t="n"/>
      <c r="F34" s="50" t="n"/>
      <c r="G34" s="18" t="n"/>
      <c r="H34" s="50" t="n"/>
    </row>
    <row r="35">
      <c r="B35" s="1" t="inlineStr">
        <is>
          <t>Note: Pls. Remove inappropriate sheet(s), and/or add more sheets as needed</t>
        </is>
      </c>
    </row>
    <row r="36">
      <c r="B36" s="1" t="inlineStr">
        <is>
          <t>Pls. Remove italic blue texts.</t>
        </is>
      </c>
    </row>
  </sheetData>
  <mergeCells count="74">
    <mergeCell ref="D20:E20"/>
    <mergeCell ref="D19:E19"/>
    <mergeCell ref="K22:M22"/>
    <mergeCell ref="D32:F32"/>
    <mergeCell ref="N14:P14"/>
    <mergeCell ref="B23:M23"/>
    <mergeCell ref="F19:J19"/>
    <mergeCell ref="B22:C22"/>
    <mergeCell ref="B24:H24"/>
    <mergeCell ref="D22:E22"/>
    <mergeCell ref="B31:C31"/>
    <mergeCell ref="B18:C18"/>
    <mergeCell ref="I26:J26"/>
    <mergeCell ref="B13:P13"/>
    <mergeCell ref="D21:E21"/>
    <mergeCell ref="B21:C21"/>
    <mergeCell ref="D28:F28"/>
    <mergeCell ref="F21:J21"/>
    <mergeCell ref="B26:H26"/>
    <mergeCell ref="F15:G15"/>
    <mergeCell ref="F20:J20"/>
    <mergeCell ref="K14:M14"/>
    <mergeCell ref="I25:J25"/>
    <mergeCell ref="A1:E5"/>
    <mergeCell ref="N1:P5"/>
    <mergeCell ref="E10:L10"/>
    <mergeCell ref="F18:J18"/>
    <mergeCell ref="F9:K9"/>
    <mergeCell ref="B14:C14"/>
    <mergeCell ref="G28:H28"/>
    <mergeCell ref="B17:C17"/>
    <mergeCell ref="D30:F30"/>
    <mergeCell ref="B25:H25"/>
    <mergeCell ref="K17:M17"/>
    <mergeCell ref="D17:E17"/>
    <mergeCell ref="D33:F33"/>
    <mergeCell ref="H15:J15"/>
    <mergeCell ref="N15:P15"/>
    <mergeCell ref="F17:J17"/>
    <mergeCell ref="G34:H34"/>
    <mergeCell ref="K19:M19"/>
    <mergeCell ref="D29:F29"/>
    <mergeCell ref="B29:C29"/>
    <mergeCell ref="G30:H30"/>
    <mergeCell ref="H14:J14"/>
    <mergeCell ref="B19:C19"/>
    <mergeCell ref="B34:C34"/>
    <mergeCell ref="G33:H33"/>
    <mergeCell ref="I24:J24"/>
    <mergeCell ref="B28:C28"/>
    <mergeCell ref="K18:M18"/>
    <mergeCell ref="D18:E18"/>
    <mergeCell ref="F22:J22"/>
    <mergeCell ref="K25:M25"/>
    <mergeCell ref="D34:F34"/>
    <mergeCell ref="K15:M15"/>
    <mergeCell ref="G29:H29"/>
    <mergeCell ref="B16:M16"/>
    <mergeCell ref="K24:M24"/>
    <mergeCell ref="B30:C30"/>
    <mergeCell ref="B15:C15"/>
    <mergeCell ref="B33:C33"/>
    <mergeCell ref="D15:E15"/>
    <mergeCell ref="D31:F31"/>
    <mergeCell ref="B20:C20"/>
    <mergeCell ref="G32:H32"/>
    <mergeCell ref="K26:M26"/>
    <mergeCell ref="K21:M21"/>
    <mergeCell ref="D14:E14"/>
    <mergeCell ref="B32:C32"/>
    <mergeCell ref="F14:G14"/>
    <mergeCell ref="B27:M27"/>
    <mergeCell ref="K20:M20"/>
    <mergeCell ref="G31:H3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C44" sqref="C44"/>
    </sheetView>
  </sheetViews>
  <sheetFormatPr baseColWidth="10" defaultColWidth="8.83203125" defaultRowHeight="13"/>
  <cols>
    <col width="0.83203125" customWidth="1" min="1" max="1"/>
  </cols>
  <sheetData>
    <row r="1">
      <c r="B1" s="36" t="inlineStr">
        <is>
          <t>Note: This page is used for description of any Definition and/or Abbreviation for the project Test Cases.</t>
        </is>
      </c>
      <c r="L1" s="1" t="n"/>
      <c r="M1" s="1" t="n"/>
      <c r="N1" s="1" t="n"/>
    </row>
    <row r="2">
      <c r="B2" s="36" t="inlineStr">
        <is>
          <t>The page can be maintained in one Test Case spreadsheet only (The Generic Test Case spreadsheet is recommended to contain this page)</t>
        </is>
      </c>
    </row>
    <row r="4">
      <c r="A4" s="31" t="inlineStr">
        <is>
          <t>Definition</t>
        </is>
      </c>
    </row>
    <row r="5">
      <c r="B5" s="17" t="inlineStr">
        <is>
          <t>Terms</t>
        </is>
      </c>
      <c r="C5" s="51" t="n"/>
      <c r="D5" s="50" t="n"/>
      <c r="E5" s="17" t="inlineStr">
        <is>
          <t>Description</t>
        </is>
      </c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0" t="n"/>
    </row>
    <row r="6">
      <c r="B6" s="35" t="inlineStr">
        <is>
          <t>EVN</t>
        </is>
      </c>
      <c r="C6" s="51" t="n"/>
      <c r="D6" s="50" t="n"/>
      <c r="E6" s="35" t="inlineStr">
        <is>
          <t>Tập đoàn Điện lực Việt Nam</t>
        </is>
      </c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0" t="n"/>
    </row>
    <row r="7">
      <c r="B7" s="35" t="inlineStr">
        <is>
          <t>kWh</t>
        </is>
      </c>
      <c r="C7" s="51" t="n"/>
      <c r="D7" s="50" t="n"/>
      <c r="E7" s="35" t="inlineStr">
        <is>
          <t>Kilowatt-giờ (đơn vị đo sản lượng điện tiêu thụ)</t>
        </is>
      </c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0" t="n"/>
    </row>
    <row r="8">
      <c r="B8" s="35" t="inlineStr">
        <is>
          <t>BVA</t>
        </is>
      </c>
      <c r="C8" s="51" t="n"/>
      <c r="D8" s="50" t="n"/>
      <c r="E8" s="35" t="inlineStr">
        <is>
          <t>Boundary Value Analysis (Phân tích giá trị biên)</t>
        </is>
      </c>
      <c r="F8" s="51" t="n"/>
      <c r="G8" s="51" t="n"/>
      <c r="H8" s="51" t="n"/>
      <c r="I8" s="51" t="n"/>
      <c r="J8" s="51" t="n"/>
      <c r="K8" s="51" t="n"/>
      <c r="L8" s="51" t="n"/>
      <c r="M8" s="51" t="n"/>
      <c r="N8" s="51" t="n"/>
      <c r="O8" s="50" t="n"/>
    </row>
    <row r="9">
      <c r="B9" s="35" t="inlineStr">
        <is>
          <t>EP</t>
        </is>
      </c>
      <c r="C9" s="51" t="n"/>
      <c r="D9" s="50" t="n"/>
      <c r="E9" s="35" t="inlineStr">
        <is>
          <t>Equivalence Partitioning (Phân vùng tương đương)</t>
        </is>
      </c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0" t="n"/>
    </row>
    <row r="10">
      <c r="B10" s="35" t="inlineStr">
        <is>
          <t>VAT</t>
        </is>
      </c>
      <c r="C10" s="51" t="n"/>
      <c r="D10" s="50" t="n"/>
      <c r="E10" s="35" t="inlineStr">
        <is>
          <t>Value Added Tax (Thuế giá trị gia tăng - GTGT)</t>
        </is>
      </c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0" t="n"/>
    </row>
    <row r="11">
      <c r="B11" s="35" t="inlineStr">
        <is>
          <t>SUT</t>
        </is>
      </c>
      <c r="C11" s="51" t="n"/>
      <c r="D11" s="50" t="n"/>
      <c r="E11" s="35" t="inlineStr">
        <is>
          <t>Software Under Test (Phần mềm được kiểm thử)</t>
        </is>
      </c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0" t="n"/>
    </row>
    <row r="12">
      <c r="B12" s="35" t="inlineStr">
        <is>
          <t>CFG</t>
        </is>
      </c>
      <c r="C12" s="51" t="n"/>
      <c r="D12" s="50" t="n"/>
      <c r="E12" s="35" t="inlineStr">
        <is>
          <t>Control Flow Graph (Đồ thị dòng điều khiển)</t>
        </is>
      </c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0" t="n"/>
    </row>
    <row r="13">
      <c r="B13" s="35" t="n"/>
      <c r="C13" s="51" t="n"/>
      <c r="D13" s="50" t="n"/>
      <c r="E13" s="35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0" t="n"/>
    </row>
    <row r="14">
      <c r="B14" s="35" t="n"/>
      <c r="C14" s="51" t="n"/>
      <c r="D14" s="50" t="n"/>
      <c r="E14" s="35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0" t="n"/>
    </row>
    <row r="15">
      <c r="B15" s="35" t="n"/>
      <c r="C15" s="51" t="n"/>
      <c r="D15" s="50" t="n"/>
      <c r="E15" s="35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0" t="n"/>
    </row>
    <row r="16">
      <c r="B16" s="28" t="inlineStr">
        <is>
          <t>Abbreviation</t>
        </is>
      </c>
      <c r="C16" s="53" t="n"/>
      <c r="D16" s="53" t="n"/>
      <c r="E16" s="53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</row>
    <row r="17" ht="12.75" customHeight="1">
      <c r="B17" s="17" t="inlineStr">
        <is>
          <t>Abbreviation</t>
        </is>
      </c>
      <c r="C17" s="51" t="n"/>
      <c r="D17" s="50" t="n"/>
      <c r="E17" s="17" t="inlineStr">
        <is>
          <t>Description</t>
        </is>
      </c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0" t="n"/>
    </row>
    <row r="18">
      <c r="B18" s="35" t="n"/>
      <c r="C18" s="51" t="n"/>
      <c r="D18" s="50" t="n"/>
      <c r="E18" s="35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0" t="n"/>
    </row>
    <row r="19">
      <c r="B19" s="35" t="n"/>
      <c r="C19" s="51" t="n"/>
      <c r="D19" s="50" t="n"/>
      <c r="E19" s="35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0" t="n"/>
    </row>
    <row r="20">
      <c r="B20" s="35" t="n"/>
      <c r="C20" s="51" t="n"/>
      <c r="D20" s="50" t="n"/>
      <c r="E20" s="35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0" t="n"/>
    </row>
    <row r="21">
      <c r="B21" s="35" t="n"/>
      <c r="C21" s="51" t="n"/>
      <c r="D21" s="50" t="n"/>
      <c r="E21" s="35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0" t="n"/>
    </row>
    <row r="22">
      <c r="B22" s="35" t="n"/>
      <c r="C22" s="51" t="n"/>
      <c r="D22" s="50" t="n"/>
      <c r="E22" s="35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0" t="n"/>
    </row>
    <row r="23">
      <c r="B23" s="35" t="n"/>
      <c r="C23" s="51" t="n"/>
      <c r="D23" s="50" t="n"/>
      <c r="E23" s="35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0" t="n"/>
    </row>
    <row r="24">
      <c r="B24" s="35" t="n"/>
      <c r="C24" s="51" t="n"/>
      <c r="D24" s="50" t="n"/>
      <c r="E24" s="35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0" t="n"/>
    </row>
    <row r="25">
      <c r="B25" s="35" t="n"/>
      <c r="C25" s="51" t="n"/>
      <c r="D25" s="50" t="n"/>
      <c r="E25" s="35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0" t="n"/>
    </row>
    <row r="26">
      <c r="B26" s="35" t="n"/>
      <c r="C26" s="51" t="n"/>
      <c r="D26" s="50" t="n"/>
      <c r="E26" s="35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0" t="n"/>
    </row>
    <row r="27">
      <c r="B27" s="35" t="n"/>
      <c r="C27" s="51" t="n"/>
      <c r="D27" s="50" t="n"/>
      <c r="E27" s="35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0" t="n"/>
    </row>
    <row r="28">
      <c r="B28" s="35" t="n"/>
      <c r="C28" s="51" t="n"/>
      <c r="D28" s="50" t="n"/>
      <c r="E28" s="35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0" t="n"/>
    </row>
    <row r="29">
      <c r="B29" s="35" t="n"/>
      <c r="C29" s="51" t="n"/>
      <c r="D29" s="50" t="n"/>
      <c r="E29" s="35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0" t="n"/>
    </row>
    <row r="30">
      <c r="B30" s="35" t="n"/>
      <c r="C30" s="51" t="n"/>
      <c r="D30" s="50" t="n"/>
      <c r="E30" s="35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0" t="n"/>
    </row>
    <row r="31">
      <c r="B31" s="35" t="n"/>
      <c r="C31" s="51" t="n"/>
      <c r="D31" s="50" t="n"/>
      <c r="E31" s="35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0" t="n"/>
    </row>
  </sheetData>
  <mergeCells count="56">
    <mergeCell ref="B11:D11"/>
    <mergeCell ref="B14:D14"/>
    <mergeCell ref="E12:O12"/>
    <mergeCell ref="B23:D23"/>
    <mergeCell ref="E21:O21"/>
    <mergeCell ref="B8:D8"/>
    <mergeCell ref="B16:O16"/>
    <mergeCell ref="B17:D17"/>
    <mergeCell ref="B13:D13"/>
    <mergeCell ref="E24:O24"/>
    <mergeCell ref="E5:O5"/>
    <mergeCell ref="B29:D29"/>
    <mergeCell ref="E14:O14"/>
    <mergeCell ref="E23:O23"/>
    <mergeCell ref="E17:O17"/>
    <mergeCell ref="B10:D10"/>
    <mergeCell ref="E8:O8"/>
    <mergeCell ref="B28:D28"/>
    <mergeCell ref="B19:D19"/>
    <mergeCell ref="E20:O20"/>
    <mergeCell ref="E29:O29"/>
    <mergeCell ref="B9:D9"/>
    <mergeCell ref="E19:O19"/>
    <mergeCell ref="B30:D30"/>
    <mergeCell ref="E10:O10"/>
    <mergeCell ref="E28:O28"/>
    <mergeCell ref="B15:D15"/>
    <mergeCell ref="E13:O13"/>
    <mergeCell ref="B6:D6"/>
    <mergeCell ref="B24:D24"/>
    <mergeCell ref="A4:O4"/>
    <mergeCell ref="B20:D20"/>
    <mergeCell ref="E9:O9"/>
    <mergeCell ref="E31:O31"/>
    <mergeCell ref="B5:D5"/>
    <mergeCell ref="E6:O6"/>
    <mergeCell ref="E30:O30"/>
    <mergeCell ref="E15:O15"/>
    <mergeCell ref="B26:D26"/>
    <mergeCell ref="E11:O11"/>
    <mergeCell ref="E27:O27"/>
    <mergeCell ref="B7:D7"/>
    <mergeCell ref="B25:D25"/>
    <mergeCell ref="B2:N2"/>
    <mergeCell ref="E26:O26"/>
    <mergeCell ref="B1:K1"/>
    <mergeCell ref="B31:D31"/>
    <mergeCell ref="B22:D22"/>
    <mergeCell ref="E7:O7"/>
    <mergeCell ref="E25:O25"/>
    <mergeCell ref="B27:D27"/>
    <mergeCell ref="B18:D18"/>
    <mergeCell ref="B21:D21"/>
    <mergeCell ref="B12:D12"/>
    <mergeCell ref="E22:O22"/>
    <mergeCell ref="E18:O1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topLeftCell="B1" workbookViewId="0">
      <pane ySplit="8" topLeftCell="A9" activePane="bottomLeft" state="frozen"/>
      <selection pane="bottomLeft" activeCell="H9" sqref="H9:H11"/>
    </sheetView>
  </sheetViews>
  <sheetFormatPr baseColWidth="10" defaultColWidth="8.83203125" defaultRowHeight="13"/>
  <cols>
    <col width="0.6640625" customWidth="1" min="1" max="1"/>
    <col width="4.33203125" customWidth="1" min="2" max="2"/>
    <col width="10.5" bestFit="1" customWidth="1" style="11" min="3" max="3"/>
    <col width="40.5" customWidth="1" min="4" max="4"/>
    <col width="24.1640625" customWidth="1" min="5" max="5"/>
    <col width="21.6640625" customWidth="1" min="6" max="6"/>
    <col width="30.5" customWidth="1" min="7" max="7"/>
    <col width="7.33203125" bestFit="1" customWidth="1" style="11" min="8" max="8"/>
  </cols>
  <sheetData>
    <row r="1" ht="24" customHeight="1">
      <c r="A1" s="44" t="inlineStr">
        <is>
          <t>Function Test Cases</t>
        </is>
      </c>
      <c r="B1" s="52" t="n"/>
      <c r="C1" s="52" t="n"/>
      <c r="D1" s="52" t="n"/>
      <c r="E1" s="52" t="n"/>
      <c r="F1" s="52" t="n"/>
      <c r="G1" s="52" t="n"/>
      <c r="H1" s="52" t="n"/>
    </row>
    <row r="2">
      <c r="G2" s="12" t="inlineStr">
        <is>
          <t>Passed</t>
        </is>
      </c>
      <c r="H2" s="9">
        <f>COUNTIF($H$9:$H$2001, "Passed")</f>
        <v/>
      </c>
    </row>
    <row r="3">
      <c r="G3" s="12" t="inlineStr">
        <is>
          <t>Failed</t>
        </is>
      </c>
      <c r="H3" s="9">
        <f>COUNTIF($H$9:$H$2001, "Failed")</f>
        <v/>
      </c>
    </row>
    <row r="4">
      <c r="C4" s="13" t="n"/>
      <c r="G4" s="12" t="inlineStr">
        <is>
          <t>Not Run</t>
        </is>
      </c>
      <c r="H4" s="9">
        <f>COUNTIF($H$9:$H$2001, "Not Run")</f>
        <v/>
      </c>
    </row>
    <row r="5">
      <c r="G5" s="12" t="inlineStr">
        <is>
          <t>Not Completed</t>
        </is>
      </c>
      <c r="H5" s="9">
        <f>COUNTIF($H$9:$H$2001, "Not Completed")</f>
        <v/>
      </c>
    </row>
    <row r="6">
      <c r="G6" s="12" t="inlineStr">
        <is>
          <t>Number of test cases</t>
        </is>
      </c>
      <c r="H6" s="9">
        <f>COUNTA(C9:C2000)</f>
        <v/>
      </c>
    </row>
    <row r="7">
      <c r="B7" s="8" t="inlineStr">
        <is>
          <t>Category</t>
        </is>
      </c>
      <c r="C7" s="8" t="inlineStr">
        <is>
          <t>Test Case ID</t>
        </is>
      </c>
      <c r="D7" s="8" t="inlineStr">
        <is>
          <t>Test Case Description</t>
        </is>
      </c>
      <c r="E7" s="8" t="inlineStr">
        <is>
          <t>Test Procedures</t>
        </is>
      </c>
      <c r="F7" s="50" t="n"/>
      <c r="G7" s="8" t="inlineStr">
        <is>
          <t>Test Case Expected Result</t>
        </is>
      </c>
      <c r="H7" s="8" t="inlineStr">
        <is>
          <t>Status</t>
        </is>
      </c>
    </row>
    <row r="8" ht="14" customHeight="1">
      <c r="B8" s="54" t="n"/>
      <c r="C8" s="54" t="n"/>
      <c r="D8" s="54" t="n"/>
      <c r="E8" s="8" t="inlineStr">
        <is>
          <t>Steps to Perform</t>
        </is>
      </c>
      <c r="F8" s="8" t="inlineStr">
        <is>
          <t>Step Expected Result</t>
        </is>
      </c>
      <c r="G8" s="54" t="n"/>
      <c r="H8" s="54" t="n"/>
    </row>
    <row r="9" ht="12.75" customHeight="1">
      <c r="B9" s="40" t="inlineStr">
        <is>
          <t>Phân vùng tương đương (EP)</t>
        </is>
      </c>
      <c r="C9" s="41" t="inlineStr">
        <is>
          <t>FUNC_EP_001</t>
        </is>
      </c>
      <c r="D9" s="42" t="inlineStr">
        <is>
          <t>Kiểm tra tính tiền với dữ liệu hợp lệ (150 kWh)</t>
        </is>
      </c>
      <c r="E9" s="3" t="inlineStr">
        <is>
          <t>1. Nhập Chỉ số cũ = 100
2. Nhập Chỉ số mới = 250
3. Chọn VAT = 8%
4. Nhấn 'Tính Tiền Điện'</t>
        </is>
      </c>
      <c r="F9" s="3" t="inlineStr">
        <is>
          <t>Hệ thống hiển thị kết quả và bảng chi tiết 6 bậc</t>
        </is>
      </c>
      <c r="G9" s="43" t="inlineStr">
        <is>
          <t>Sản lượng: 150 kWh
Tiền chưa thuế: 320.700 đ
VAT 8%: 25.656 đ
Tổng tiền: 346.356 đ</t>
        </is>
      </c>
      <c r="H9" s="41" t="inlineStr">
        <is>
          <t>Passed</t>
        </is>
      </c>
    </row>
    <row r="10">
      <c r="B10" t="inlineStr">
        <is>
          <t>Phân vùng tương đương (EP)</t>
        </is>
      </c>
      <c r="C10" t="inlineStr">
        <is>
          <t>FUNC_EP_002</t>
        </is>
      </c>
      <c r="D10" t="inlineStr">
        <is>
          <t>Kiểm tra để trống chỉ số cũ</t>
        </is>
      </c>
      <c r="E10" s="3" t="inlineStr">
        <is>
          <t>1. Để trống Chỉ số cũ
2. Nhập Chỉ số mới = 150
3. Nhấn 'Tính Tiền Điện'</t>
        </is>
      </c>
      <c r="F10" s="3" t="inlineStr">
        <is>
          <t>Hệ thống hiển thị thông báo lỗi</t>
        </is>
      </c>
      <c r="G10" t="inlineStr">
        <is>
          <t>Thông báo lỗi: 'Chỉ số cũ không được để trống.' (ERR_EMPTY_OLD)</t>
        </is>
      </c>
      <c r="H10" t="inlineStr">
        <is>
          <t>Passed</t>
        </is>
      </c>
    </row>
    <row r="11">
      <c r="B11" t="inlineStr">
        <is>
          <t>Phân vùng tương đương (EP)</t>
        </is>
      </c>
      <c r="C11" t="inlineStr">
        <is>
          <t>FUNC_EP_003</t>
        </is>
      </c>
      <c r="D11" t="inlineStr">
        <is>
          <t>Kiểm tra để trống chỉ số mới</t>
        </is>
      </c>
      <c r="E11" s="3" t="inlineStr">
        <is>
          <t>1. Nhập Chỉ số cũ = 100
2. Để trống Chỉ số mới
3. Nhấn 'Tính Tiền Điện'</t>
        </is>
      </c>
      <c r="F11" s="3" t="inlineStr">
        <is>
          <t>Hệ thống hiển thị thông báo lỗi</t>
        </is>
      </c>
      <c r="G11" t="inlineStr">
        <is>
          <t>Thông báo lỗi: 'Chỉ số mới không được để trống.' (ERR_EMPTY_NEW)</t>
        </is>
      </c>
      <c r="H11" t="inlineStr">
        <is>
          <t>Passed</t>
        </is>
      </c>
    </row>
    <row r="12">
      <c r="B12" t="inlineStr">
        <is>
          <t>Phân vùng tương đương (EP)</t>
        </is>
      </c>
      <c r="C12" s="35" t="inlineStr">
        <is>
          <t>FUNC_EP_004</t>
        </is>
      </c>
      <c r="D12" s="3" t="inlineStr">
        <is>
          <t>Kiểm tra nhập ký tự chữ vào chỉ số cũ</t>
        </is>
      </c>
      <c r="E12" s="3" t="inlineStr">
        <is>
          <t>1. Nhập Chỉ số cũ = 'abc'
2. Nhập Chỉ số mới = 200
3. Nhấn 'Tính Tiền Điện'</t>
        </is>
      </c>
      <c r="F12" s="3" t="inlineStr">
        <is>
          <t>Hệ thống phát hiện lỗi kiểu dữ liệu</t>
        </is>
      </c>
      <c r="G12" s="3" t="inlineStr">
        <is>
          <t>Thông báo lỗi: 'Chỉ số cũ phải là số hợp lệ.' (ERR_NAN_OLD)</t>
        </is>
      </c>
      <c r="H12" s="41" t="inlineStr">
        <is>
          <t>Passed</t>
        </is>
      </c>
    </row>
    <row r="13">
      <c r="B13" t="inlineStr">
        <is>
          <t>Phân vùng tương đương (EP)</t>
        </is>
      </c>
      <c r="C13" s="35" t="inlineStr">
        <is>
          <t>FUNC_EP_005</t>
        </is>
      </c>
      <c r="D13" s="3" t="inlineStr">
        <is>
          <t>Kiểm tra nhập ký tự đặc biệt vào chỉ số mới</t>
        </is>
      </c>
      <c r="E13" s="3" t="inlineStr">
        <is>
          <t>1. Nhập Chỉ số cũ = 100
2. Nhập Chỉ số mới = '@#$%'
3. Nhấn 'Tính Tiền Điện'</t>
        </is>
      </c>
      <c r="F13" s="3" t="inlineStr">
        <is>
          <t>Hệ thống phát hiện lỗi kiểu dữ liệu</t>
        </is>
      </c>
      <c r="G13" s="3" t="inlineStr">
        <is>
          <t>Thông báo lỗi: 'Chỉ số mới phải là số hợp lệ.' (ERR_NAN_NEW)</t>
        </is>
      </c>
      <c r="H13" s="41" t="inlineStr">
        <is>
          <t>Passed</t>
        </is>
      </c>
    </row>
    <row r="14">
      <c r="B14" s="40" t="inlineStr">
        <is>
          <t>Phân vùng tương đương (EP)</t>
        </is>
      </c>
      <c r="C14" s="35" t="inlineStr">
        <is>
          <t>FUNC_EP_006</t>
        </is>
      </c>
      <c r="D14" s="3" t="inlineStr">
        <is>
          <t>Kiểm tra nhập số âm vào chỉ số cũ</t>
        </is>
      </c>
      <c r="E14" s="3" t="inlineStr">
        <is>
          <t>1. Nhập Chỉ số cũ = -50
2. Nhập Chỉ số mới = 100
3. Nhấn 'Tính Tiền Điện'</t>
        </is>
      </c>
      <c r="F14" s="3" t="inlineStr">
        <is>
          <t>Hệ thống phát hiện giá trị âm</t>
        </is>
      </c>
      <c r="G14" s="3" t="inlineStr">
        <is>
          <t>Thông báo lỗi: 'Chỉ số cũ không được âm.' (ERR_NEGATIVE_OLD)</t>
        </is>
      </c>
      <c r="H14" s="41" t="inlineStr">
        <is>
          <t>Passed</t>
        </is>
      </c>
    </row>
    <row r="15">
      <c r="B15" t="inlineStr">
        <is>
          <t>Phân vùng tương đương (EP)</t>
        </is>
      </c>
      <c r="C15" s="35" t="inlineStr">
        <is>
          <t>FUNC_EP_007</t>
        </is>
      </c>
      <c r="D15" s="3" t="inlineStr">
        <is>
          <t>Kiểm tra nhập số âm vào chỉ số mới</t>
        </is>
      </c>
      <c r="E15" s="3" t="inlineStr">
        <is>
          <t>1. Nhập Chỉ số cũ = 100
2. Nhập Chỉ số mới = -20
3. Nhấn 'Tính Tiền Điện'</t>
        </is>
      </c>
      <c r="F15" s="3" t="inlineStr">
        <is>
          <t>Hệ thống phát hiện giá trị âm</t>
        </is>
      </c>
      <c r="G15" s="3" t="inlineStr">
        <is>
          <t>Thông báo lỗi: 'Chỉ số mới không được âm.' (ERR_NEGATIVE_NEW)</t>
        </is>
      </c>
      <c r="H15" s="41" t="inlineStr">
        <is>
          <t>Passed</t>
        </is>
      </c>
    </row>
    <row r="16" ht="12.75" customHeight="1">
      <c r="B16" t="inlineStr">
        <is>
          <t>Phân vùng tương đương (EP)</t>
        </is>
      </c>
      <c r="C16" s="35" t="inlineStr">
        <is>
          <t>FUNC_EP_008</t>
        </is>
      </c>
      <c r="D16" s="3" t="inlineStr">
        <is>
          <t>Kiểm tra chỉ số mới nhỏ hơn chỉ số cũ (New &lt; Old)</t>
        </is>
      </c>
      <c r="E16" s="3" t="inlineStr">
        <is>
          <t>1. Nhập Chỉ số cũ = 500
2. Nhập Chỉ số mới = 300
3. Nhấn 'Tính Tiền Điện'</t>
        </is>
      </c>
      <c r="F16" s="3" t="inlineStr">
        <is>
          <t>Hệ thống kiểm tra tính logic của công tơ</t>
        </is>
      </c>
      <c r="G16" s="3" t="inlineStr">
        <is>
          <t>Thông báo lỗi: 'Chỉ số mới không được nhỏ hơn chỉ số cũ.'</t>
        </is>
      </c>
      <c r="H16" s="41" t="inlineStr">
        <is>
          <t>Passed</t>
        </is>
      </c>
    </row>
    <row r="17">
      <c r="B17" t="inlineStr">
        <is>
          <t>Phân vùng tương đương (EP)</t>
        </is>
      </c>
      <c r="C17" s="35" t="inlineStr">
        <is>
          <t>FUNC_EP_009</t>
        </is>
      </c>
      <c r="D17" s="3" t="inlineStr">
        <is>
          <t>Kiểm tra chỉ số mới bằng chỉ số cũ (Tiêu thụ 0 kWh)</t>
        </is>
      </c>
      <c r="E17" s="3" t="inlineStr">
        <is>
          <t>1. Nhập Chỉ số cũ = 200
2. Nhập Chỉ số mới = 200
3. Nhấn 'Tính Tiền Điện'</t>
        </is>
      </c>
      <c r="F17" s="3" t="inlineStr">
        <is>
          <t>Tính toán sản lượng = 0 kWh</t>
        </is>
      </c>
      <c r="G17" s="3" t="inlineStr">
        <is>
          <t>Sản lượng = 0 kWh, Tổng tiền = 0 đ</t>
        </is>
      </c>
      <c r="H17" s="41" t="inlineStr">
        <is>
          <t>Passed</t>
        </is>
      </c>
    </row>
    <row r="18">
      <c r="B18" t="inlineStr">
        <is>
          <t>Phân vùng tương đương (EP)</t>
        </is>
      </c>
      <c r="C18" s="35" t="inlineStr">
        <is>
          <t>FUNC_EP_010</t>
        </is>
      </c>
      <c r="D18" s="3" t="inlineStr">
        <is>
          <t>Kiểm tra nhập số thập phân</t>
        </is>
      </c>
      <c r="E18" s="3" t="inlineStr">
        <is>
          <t>1. Nhập Chỉ số cũ = 100.5
2. Nhập Chỉ số mới = 200
3. Nhấn 'Tính Tiền Điện'</t>
        </is>
      </c>
      <c r="F18" s="3" t="inlineStr">
        <is>
          <t>Hệ thống yêu cầu số nguyên</t>
        </is>
      </c>
      <c r="G18" s="3" t="inlineStr">
        <is>
          <t>Thông báo lỗi: 'Chỉ số công tơ phải là số nguyên không âm.'</t>
        </is>
      </c>
      <c r="H18" s="41" t="inlineStr">
        <is>
          <t>Passed</t>
        </is>
      </c>
    </row>
    <row r="19">
      <c r="B19" s="40" t="inlineStr">
        <is>
          <t>Phân vùng tương đương (EP)</t>
        </is>
      </c>
      <c r="C19" s="35" t="inlineStr">
        <is>
          <t>FUNC_EP_011</t>
        </is>
      </c>
      <c r="D19" s="3" t="inlineStr">
        <is>
          <t>Kiểm tra vượt ngưỡng tối đa cho phép (&gt; 10 triệu)</t>
        </is>
      </c>
      <c r="E19" s="3" t="inlineStr">
        <is>
          <t>1. Nhập Chỉ số cũ = 100
2. Nhập Chỉ số mới = 15000000
3. Nhấn 'Tính Tiền Điện'</t>
        </is>
      </c>
      <c r="F19" s="3" t="inlineStr">
        <is>
          <t>Hệ thống chặn giá trị tràn số</t>
        </is>
      </c>
      <c r="G19" s="3" t="inlineStr">
        <is>
          <t>Thông báo lỗi vượt quá giới hạn 10.000.000 kWh</t>
        </is>
      </c>
      <c r="H19" s="41" t="inlineStr">
        <is>
          <t>Passed</t>
        </is>
      </c>
    </row>
    <row r="20">
      <c r="B20" t="inlineStr">
        <is>
          <t>Giá trị biên (BVA)</t>
        </is>
      </c>
      <c r="C20" s="35" t="inlineStr">
        <is>
          <t>FUNC_BVA_001</t>
        </is>
      </c>
      <c r="D20" s="3" t="inlineStr">
        <is>
          <t>Biên min Bậc 1: Tiêu thụ chính xác 1 kWh</t>
        </is>
      </c>
      <c r="E20" s="3" t="inlineStr">
        <is>
          <t>1. Nhập Cũ = 0, Mới = 1
2. VAT = 8%
3. Nhấn Tính</t>
        </is>
      </c>
      <c r="F20" s="3" t="inlineStr">
        <is>
          <t>Tính theo Bậc 1: 1 kWh * 1984 đ</t>
        </is>
      </c>
      <c r="G20" s="3" t="inlineStr">
        <is>
          <t>Sản lượng: 1 kWh, Tiền trước thuế: 1.984 đ, VAT: 159 đ, Tổng: 2.143 đ</t>
        </is>
      </c>
      <c r="H20" s="41" t="inlineStr">
        <is>
          <t>Passed</t>
        </is>
      </c>
    </row>
    <row r="21">
      <c r="B21" t="inlineStr">
        <is>
          <t>Giá trị biên (BVA)</t>
        </is>
      </c>
      <c r="C21" s="35" t="inlineStr">
        <is>
          <t>FUNC_BVA_002</t>
        </is>
      </c>
      <c r="D21" s="3" t="inlineStr">
        <is>
          <t>Biên max Bậc 1: Tiêu thụ chính xác 50 kWh</t>
        </is>
      </c>
      <c r="E21" s="3" t="inlineStr">
        <is>
          <t>1. Nhập Cũ = 100, Mới = 150
2. VAT = 8%
3. Nhấn Tính</t>
        </is>
      </c>
      <c r="F21" s="3" t="inlineStr">
        <is>
          <t>Trọn vẹn Bậc 1: 50 kWh * 1984 đ</t>
        </is>
      </c>
      <c r="G21" s="3" t="inlineStr">
        <is>
          <t>Sản lượng: 50 kWh, Tiền trước thuế: 99.200 đ, Tổng: 107.136 đ</t>
        </is>
      </c>
      <c r="H21" s="41" t="inlineStr">
        <is>
          <t>Passed</t>
        </is>
      </c>
    </row>
    <row r="22">
      <c r="B22" t="inlineStr">
        <is>
          <t>Giá trị biên (BVA)</t>
        </is>
      </c>
      <c r="C22" s="35" t="inlineStr">
        <is>
          <t>FUNC_BVA_003</t>
        </is>
      </c>
      <c r="D22" s="3" t="inlineStr">
        <is>
          <t>Biên min Bậc 2: Tiêu thụ 51 kWh (Chớm Bậc 2)</t>
        </is>
      </c>
      <c r="E22" s="3" t="inlineStr">
        <is>
          <t>1. Nhập Cũ = 100, Mới = 151
2. VAT = 8%
3. Nhấn Tính</t>
        </is>
      </c>
      <c r="F22" s="3" t="inlineStr">
        <is>
          <t>50 kWh Bậc 1 + 1 kWh Bậc 2 (2050 đ)</t>
        </is>
      </c>
      <c r="G22" s="3" t="inlineStr">
        <is>
          <t>Sản lượng: 51 kWh, Tiền: 101.250 đ, VAT: 8.100 đ, Tổng: 109.350 đ</t>
        </is>
      </c>
      <c r="H22" s="41" t="inlineStr">
        <is>
          <t>Passed</t>
        </is>
      </c>
    </row>
    <row r="23">
      <c r="B23" s="3" t="inlineStr">
        <is>
          <t>Giá trị biên (BVA)</t>
        </is>
      </c>
      <c r="C23" s="15" t="inlineStr">
        <is>
          <t>FUNC_BVA_004</t>
        </is>
      </c>
      <c r="D23" s="3" t="inlineStr">
        <is>
          <t>Biên max Bậc 2: Tiêu thụ 100 kWh</t>
        </is>
      </c>
      <c r="E23" s="3" t="inlineStr">
        <is>
          <t>1. Nhập Cũ = 0, Mới = 100
2. VAT = 8%
3. Nhấn Tính</t>
        </is>
      </c>
      <c r="F23" s="3" t="inlineStr">
        <is>
          <t>50 kWh Bậc 1 + 50 kWh Bậc 2</t>
        </is>
      </c>
      <c r="G23" s="3" t="inlineStr">
        <is>
          <t>Sản lượng: 100 kWh, Tiền: 201.700 đ, VAT: 16.136 đ, Tổng: 217.836 đ</t>
        </is>
      </c>
      <c r="H23" s="41" t="inlineStr">
        <is>
          <t>Passed</t>
        </is>
      </c>
    </row>
    <row r="24">
      <c r="B24" s="3" t="inlineStr">
        <is>
          <t>Giá trị biên (BVA)</t>
        </is>
      </c>
      <c r="C24" s="15" t="inlineStr">
        <is>
          <t>FUNC_BVA_005</t>
        </is>
      </c>
      <c r="D24" s="3" t="inlineStr">
        <is>
          <t>Biên min Bậc 3: Tiêu thụ 101 kWh (Chớm Bậc 3)</t>
        </is>
      </c>
      <c r="E24" s="3" t="inlineStr">
        <is>
          <t>1. Nhập Cũ = 0, Mới = 101
2. VAT = 8%
3. Nhấn Tính</t>
        </is>
      </c>
      <c r="F24" s="3" t="inlineStr">
        <is>
          <t>100 kWh Bậc 1-2 + 1 kWh Bậc 3 (2380 đ)</t>
        </is>
      </c>
      <c r="G24" s="3" t="inlineStr">
        <is>
          <t>Sản lượng: 101 kWh, Tiền: 204.080 đ, Tổng: 220.406 đ</t>
        </is>
      </c>
      <c r="H24" s="41" t="inlineStr">
        <is>
          <t>Passed</t>
        </is>
      </c>
    </row>
    <row r="25">
      <c r="B25" s="3" t="inlineStr">
        <is>
          <t>Giá trị biên (BVA)</t>
        </is>
      </c>
      <c r="C25" s="15" t="inlineStr">
        <is>
          <t>FUNC_BVA_006</t>
        </is>
      </c>
      <c r="D25" s="3" t="inlineStr">
        <is>
          <t>Biên max Bậc 3: Tiêu thụ 200 kWh</t>
        </is>
      </c>
      <c r="E25" s="3" t="inlineStr">
        <is>
          <t>1. Nhập Cũ = 0, Mới = 200
2. VAT = 8%
3. Nhấn Tính</t>
        </is>
      </c>
      <c r="F25" s="3" t="inlineStr">
        <is>
          <t>Bậc 1 (50) + Bậc 2 (50) + Bậc 3 (100)</t>
        </is>
      </c>
      <c r="G25" s="3" t="inlineStr">
        <is>
          <t>Sản lượng: 200 kWh, Tiền: 439.700 đ, Tổng: 474.876 đ</t>
        </is>
      </c>
      <c r="H25" s="41" t="inlineStr">
        <is>
          <t>Passed</t>
        </is>
      </c>
    </row>
    <row r="26" ht="12.75" customHeight="1">
      <c r="B26" s="3" t="inlineStr">
        <is>
          <t>Giá trị biên (BVA)</t>
        </is>
      </c>
      <c r="C26" s="15" t="inlineStr">
        <is>
          <t>FUNC_BVA_007</t>
        </is>
      </c>
      <c r="D26" s="3" t="inlineStr">
        <is>
          <t>Biên max Bậc 4: Tiêu thụ 300 kWh</t>
        </is>
      </c>
      <c r="E26" s="3" t="inlineStr">
        <is>
          <t>1. Nhập Cũ = 0, Mới = 300
2. VAT = 8%
3. Nhấn Tính</t>
        </is>
      </c>
      <c r="F26" s="3" t="inlineStr">
        <is>
          <t>Bậc 1-3 (439.700) + 100 kWh Bậc 4 (299.800)</t>
        </is>
      </c>
      <c r="G26" s="3" t="inlineStr">
        <is>
          <t>Sản lượng: 300 kWh, Tiền: 739.500 đ, Tổng: 798.660 đ</t>
        </is>
      </c>
      <c r="H26" s="41" t="inlineStr">
        <is>
          <t>Passed</t>
        </is>
      </c>
    </row>
    <row r="27">
      <c r="B27" s="3" t="inlineStr">
        <is>
          <t>Giá trị biên (BVA)</t>
        </is>
      </c>
      <c r="C27" s="15" t="inlineStr">
        <is>
          <t>FUNC_BVA_008</t>
        </is>
      </c>
      <c r="D27" s="3" t="inlineStr">
        <is>
          <t>Biên max Bậc 5: Tiêu thụ 400 kWh</t>
        </is>
      </c>
      <c r="E27" s="3" t="inlineStr">
        <is>
          <t>1. Nhập Cũ = 0, Mới = 400
2. VAT = 8%
3. Nhấn Tính</t>
        </is>
      </c>
      <c r="F27" s="3" t="inlineStr">
        <is>
          <t>Bậc 1-4 (739.500) + 100 kWh Bậc 5 (335.000)</t>
        </is>
      </c>
      <c r="G27" s="3" t="inlineStr">
        <is>
          <t>Sản lượng: 400 kWh, Tiền: 1.074.500 đ, Tổng: 1.160.460 đ</t>
        </is>
      </c>
      <c r="H27" s="41" t="inlineStr">
        <is>
          <t>Passed</t>
        </is>
      </c>
    </row>
    <row r="28">
      <c r="B28" s="3" t="inlineStr">
        <is>
          <t>Giá trị biên (BVA)</t>
        </is>
      </c>
      <c r="C28" s="15" t="inlineStr">
        <is>
          <t>FUNC_BVA_009</t>
        </is>
      </c>
      <c r="D28" s="3" t="inlineStr">
        <is>
          <t>Biên min Bậc 6: Tiêu thụ 401 kWh (Chớm Bậc 6)</t>
        </is>
      </c>
      <c r="E28" s="3" t="inlineStr">
        <is>
          <t>1. Nhập Cũ = 0, Mới = 401
2. VAT = 8%
3. Nhấn Tính</t>
        </is>
      </c>
      <c r="F28" s="3" t="inlineStr">
        <is>
          <t>400 kWh (1.074.500) + 1 kWh Bậc 6 (3460 đ)</t>
        </is>
      </c>
      <c r="G28" s="3" t="inlineStr">
        <is>
          <t>Sản lượng: 401 kWh, Tiền: 1.077.960 đ, Tổng: 1.164.197 đ</t>
        </is>
      </c>
      <c r="H28" s="41" t="inlineStr">
        <is>
          <t>Passed</t>
        </is>
      </c>
    </row>
    <row r="29">
      <c r="B29" s="3" t="inlineStr">
        <is>
          <t>Bảng quyết định &amp; VAT</t>
        </is>
      </c>
      <c r="C29" s="15" t="inlineStr">
        <is>
          <t>FUNC_VAT_001</t>
        </is>
      </c>
      <c r="D29" s="3" t="inlineStr">
        <is>
          <t>Kiểm tra mức thuế suất VAT chuẩn 10%</t>
        </is>
      </c>
      <c r="E29" s="3" t="inlineStr">
        <is>
          <t>1. Nhập Cũ = 0, Mới = 100
2. Chọn VAT = 10%
3. Nhấn Tính</t>
        </is>
      </c>
      <c r="F29" s="3" t="inlineStr">
        <is>
          <t>Tiền chưa thuế 201.700 đ, VAT 10% = 20.170 đ</t>
        </is>
      </c>
      <c r="G29" s="3" t="inlineStr">
        <is>
          <t>Tổng thanh toán: 221.870 đ</t>
        </is>
      </c>
      <c r="H29" s="41" t="inlineStr">
        <is>
          <t>Passed</t>
        </is>
      </c>
    </row>
    <row r="30">
      <c r="B30" s="3" t="inlineStr">
        <is>
          <t>Bảng quyết định &amp; VAT</t>
        </is>
      </c>
      <c r="C30" s="15" t="inlineStr">
        <is>
          <t>FUNC_VAT_002</t>
        </is>
      </c>
      <c r="D30" s="3" t="inlineStr">
        <is>
          <t>Kiểm tra trường hợp miễn thuế VAT 0%</t>
        </is>
      </c>
      <c r="E30" s="3" t="inlineStr">
        <is>
          <t>1. Nhập Cũ = 0, Mới = 100
2. Chọn VAT = 0%
3. Nhấn Tính</t>
        </is>
      </c>
      <c r="F30" s="3" t="inlineStr">
        <is>
          <t>Tiền chưa thuế 201.700 đ, VAT = 0 đ</t>
        </is>
      </c>
      <c r="G30" s="3" t="inlineStr">
        <is>
          <t>Tổng thanh toán: 201.700 đ</t>
        </is>
      </c>
      <c r="H30" s="41" t="inlineStr">
        <is>
          <t>Passed</t>
        </is>
      </c>
    </row>
    <row r="31">
      <c r="B31" s="3" t="n"/>
      <c r="C31" s="15" t="n"/>
      <c r="D31" s="3" t="n"/>
      <c r="E31" s="3" t="n"/>
      <c r="F31" s="3" t="n"/>
      <c r="G31" s="3" t="n"/>
      <c r="H31" s="41" t="n"/>
    </row>
    <row r="32">
      <c r="B32" s="3" t="n"/>
      <c r="C32" s="15" t="n"/>
      <c r="D32" s="3" t="n"/>
      <c r="E32" s="3" t="n"/>
      <c r="F32" s="3" t="n"/>
      <c r="G32" s="3" t="n"/>
      <c r="H32" s="41" t="n"/>
    </row>
    <row r="33">
      <c r="B33" s="3" t="n"/>
      <c r="C33" s="15" t="n"/>
      <c r="D33" s="3" t="n"/>
      <c r="E33" s="3" t="n"/>
      <c r="F33" s="3" t="n"/>
      <c r="G33" s="3" t="n"/>
      <c r="H33" s="41" t="n"/>
    </row>
  </sheetData>
  <mergeCells count="7">
    <mergeCell ref="E7:F7"/>
    <mergeCell ref="C7:C8"/>
    <mergeCell ref="D7:D8"/>
    <mergeCell ref="B7:B8"/>
    <mergeCell ref="G7:G8"/>
    <mergeCell ref="H7:H8"/>
    <mergeCell ref="A1:H1"/>
  </mergeCells>
  <dataValidations count="1">
    <dataValidation sqref="H9:H33" showDropDown="0" showInputMessage="1" showErrorMessage="1" allowBlank="1" type="list">
      <formula1>$G$2:$G$5</formula1>
    </dataValidation>
  </dataValidations>
  <pageMargins left="0.75" right="0.75" top="1" bottom="1" header="0.5" footer="0.5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workbookViewId="0">
      <pane ySplit="8" topLeftCell="A9" activePane="bottomLeft" state="frozen"/>
      <selection pane="bottomLeft" activeCell="A9" sqref="A9"/>
    </sheetView>
  </sheetViews>
  <sheetFormatPr baseColWidth="10" defaultColWidth="8.83203125" defaultRowHeight="13"/>
  <cols>
    <col width="0.6640625" customWidth="1" min="1" max="1"/>
    <col width="4.33203125" customWidth="1" min="2" max="2"/>
    <col width="10.5" bestFit="1" customWidth="1" style="11" min="3" max="3"/>
    <col width="40.5" customWidth="1" min="4" max="4"/>
    <col width="24.1640625" customWidth="1" min="5" max="5"/>
    <col width="21.6640625" customWidth="1" min="6" max="6"/>
    <col width="30.5" customWidth="1" min="7" max="7"/>
    <col width="7.33203125" bestFit="1" customWidth="1" style="11" min="8" max="8"/>
  </cols>
  <sheetData>
    <row r="1" ht="24" customHeight="1">
      <c r="A1" s="44" t="inlineStr">
        <is>
          <t>Security Test Cases</t>
        </is>
      </c>
      <c r="B1" s="52" t="n"/>
      <c r="C1" s="52" t="n"/>
      <c r="D1" s="52" t="n"/>
      <c r="E1" s="52" t="n"/>
      <c r="F1" s="52" t="n"/>
      <c r="G1" s="52" t="n"/>
      <c r="H1" s="52" t="n"/>
    </row>
    <row r="2">
      <c r="G2" s="12" t="inlineStr">
        <is>
          <t>Passed</t>
        </is>
      </c>
      <c r="H2" s="9">
        <f>COUNTIF($H$9:$H$2001, "Passed")</f>
        <v/>
      </c>
    </row>
    <row r="3">
      <c r="G3" s="12" t="inlineStr">
        <is>
          <t>Failed</t>
        </is>
      </c>
      <c r="H3" s="9">
        <f>COUNTIF($H$9:$H$2001, "Failed")</f>
        <v/>
      </c>
    </row>
    <row r="4">
      <c r="C4" s="13" t="n"/>
      <c r="G4" s="12" t="inlineStr">
        <is>
          <t>Not Run</t>
        </is>
      </c>
      <c r="H4" s="9">
        <f>COUNTIF($H$9:$H$2001, "Not Run")</f>
        <v/>
      </c>
    </row>
    <row r="5">
      <c r="G5" s="12" t="inlineStr">
        <is>
          <t>Not Completed</t>
        </is>
      </c>
      <c r="H5" s="9">
        <f>COUNTIF($H$9:$H$2001, "Not Completed")</f>
        <v/>
      </c>
    </row>
    <row r="6">
      <c r="G6" s="12" t="inlineStr">
        <is>
          <t>Number of test cases</t>
        </is>
      </c>
      <c r="H6" s="9">
        <f>COUNTA(C9:C2000)</f>
        <v/>
      </c>
    </row>
    <row r="7">
      <c r="B7" s="8" t="inlineStr">
        <is>
          <t>Category</t>
        </is>
      </c>
      <c r="C7" s="8" t="inlineStr">
        <is>
          <t>Test Case ID</t>
        </is>
      </c>
      <c r="D7" s="8" t="inlineStr">
        <is>
          <t>Test Case Description</t>
        </is>
      </c>
      <c r="E7" s="8" t="inlineStr">
        <is>
          <t>Test Procedures</t>
        </is>
      </c>
      <c r="F7" s="50" t="n"/>
      <c r="G7" s="8" t="inlineStr">
        <is>
          <t>Test Case Expected Result</t>
        </is>
      </c>
      <c r="H7" s="8" t="inlineStr">
        <is>
          <t>Status</t>
        </is>
      </c>
    </row>
    <row r="8" ht="14" customHeight="1">
      <c r="B8" s="54" t="n"/>
      <c r="C8" s="54" t="n"/>
      <c r="D8" s="54" t="n"/>
      <c r="E8" s="8" t="inlineStr">
        <is>
          <t>Steps to Perform</t>
        </is>
      </c>
      <c r="F8" s="8" t="inlineStr">
        <is>
          <t>Step Expected Result</t>
        </is>
      </c>
      <c r="G8" s="54" t="n"/>
      <c r="H8" s="54" t="n"/>
    </row>
    <row r="9" ht="12.75" customHeight="1">
      <c r="B9" s="40" t="inlineStr">
        <is>
          <t>Bảo mật (XSS)</t>
        </is>
      </c>
      <c r="C9" s="41" t="inlineStr">
        <is>
          <t>SEC_001</t>
        </is>
      </c>
      <c r="D9" s="42" t="inlineStr">
        <is>
          <t>Phòng chống tiêm mã độc XSS dạng String</t>
        </is>
      </c>
      <c r="E9" s="3" t="inlineStr">
        <is>
          <t>1. Nhập Chỉ số cũ = '&lt;script&gt;alert(1)&lt;/script&gt;'
2. Nhập Mới = 200
3. Nhấn Tính</t>
        </is>
      </c>
      <c r="F9" s="3" t="inlineStr">
        <is>
          <t>Hệ thống parse số và phát hiện không phải định dạng số</t>
        </is>
      </c>
      <c r="G9" s="43" t="inlineStr">
        <is>
          <t>Chặn an toàn, hiển thị 'Chỉ số cũ phải là số hợp lệ.', không thực thi script</t>
        </is>
      </c>
      <c r="H9" s="41" t="inlineStr">
        <is>
          <t>Passed</t>
        </is>
      </c>
    </row>
    <row r="10">
      <c r="B10" t="inlineStr">
        <is>
          <t>Độ chịu lỗi</t>
        </is>
      </c>
      <c r="C10" t="inlineStr">
        <is>
          <t>SEC_002</t>
        </is>
      </c>
      <c r="D10" t="inlineStr">
        <is>
          <t>Kiểm tra xử lý giá trị vô cực Infinity</t>
        </is>
      </c>
      <c r="E10" s="3" t="inlineStr">
        <is>
          <t>1. Nhập Chỉ số mới = Infinity
2. Nhấn Tính</t>
        </is>
      </c>
      <c r="F10" s="3" t="inlineStr">
        <is>
          <t>Hệ thống kiểm tra Number.isFinite()</t>
        </is>
      </c>
      <c r="G10" t="inlineStr">
        <is>
          <t>Chặn an toàn, báo lỗi không hợp lệ</t>
        </is>
      </c>
      <c r="H10" t="inlineStr">
        <is>
          <t>Passed</t>
        </is>
      </c>
    </row>
    <row r="11">
      <c r="B11" t="inlineStr">
        <is>
          <t>Bảo mật đầu vào</t>
        </is>
      </c>
      <c r="C11" t="inlineStr">
        <is>
          <t>SEC_003</t>
        </is>
      </c>
      <c r="D11" t="inlineStr">
        <is>
          <t>Kiểm tra chuỗi chỉ chứa ký tự khoảng trắng / tab</t>
        </is>
      </c>
      <c r="E11" s="3" t="inlineStr">
        <is>
          <t>1. Nhập Chỉ số cũ = '   \t\n  '
2. Nhấn Tính</t>
        </is>
      </c>
      <c r="F11" s="3" t="inlineStr">
        <is>
          <t>Hệ thống hàm trim() phát hiện chuỗi rỗng</t>
        </is>
      </c>
      <c r="G11" t="inlineStr">
        <is>
          <t>Báo lỗi 'Chỉ số cũ không được để trống.'</t>
        </is>
      </c>
      <c r="H11" t="inlineStr">
        <is>
          <t>Passed</t>
        </is>
      </c>
    </row>
    <row r="12">
      <c r="B12" t="inlineStr">
        <is>
          <t>Hiệu năng (Performance)</t>
        </is>
      </c>
      <c r="C12" s="35" t="inlineStr">
        <is>
          <t>PERF_001</t>
        </is>
      </c>
      <c r="D12" s="3" t="inlineStr">
        <is>
          <t>Kiểm tra thời gian phản hồi tính toán (Response Time)</t>
        </is>
      </c>
      <c r="E12" s="3" t="inlineStr">
        <is>
          <t>1. Thực thi hàm tính toán 100 lần liên tục
2. Đo thời gian bằng performance.now()</t>
        </is>
      </c>
      <c r="F12" s="3" t="inlineStr">
        <is>
          <t>Thời gian xử lý trung bình mỗi lượt tính toán &lt; 10ms</t>
        </is>
      </c>
      <c r="G12" s="3" t="inlineStr">
        <is>
          <t>Thời gian thực tế: ~0.15ms / lượt tính, đáp ứng tiêu chuẩn hiệu năng cao</t>
        </is>
      </c>
      <c r="H12" s="41" t="inlineStr">
        <is>
          <t>Passed</t>
        </is>
      </c>
    </row>
    <row r="13">
      <c r="C13" s="35" t="n"/>
      <c r="D13" s="3" t="n"/>
      <c r="E13" s="3" t="n"/>
      <c r="F13" s="3" t="n"/>
      <c r="G13" s="3" t="n"/>
      <c r="H13" s="41" t="n"/>
    </row>
    <row r="14">
      <c r="B14" s="40" t="n"/>
      <c r="C14" s="35" t="n"/>
      <c r="D14" s="3" t="n"/>
      <c r="E14" s="3" t="n"/>
      <c r="F14" s="3" t="n"/>
      <c r="G14" s="3" t="n"/>
      <c r="H14" s="41" t="n"/>
    </row>
    <row r="15">
      <c r="C15" s="35" t="n"/>
      <c r="D15" s="3" t="n"/>
      <c r="E15" s="3" t="n"/>
      <c r="F15" s="3" t="n"/>
      <c r="G15" s="3" t="n"/>
      <c r="H15" s="41" t="n"/>
    </row>
    <row r="16" ht="12.75" customHeight="1">
      <c r="C16" s="35" t="n"/>
      <c r="D16" s="3" t="n"/>
      <c r="E16" s="3" t="n"/>
      <c r="F16" s="3" t="n"/>
      <c r="G16" s="3" t="n"/>
      <c r="H16" s="41" t="n"/>
    </row>
    <row r="17">
      <c r="C17" s="35" t="n"/>
      <c r="D17" s="3" t="n"/>
      <c r="E17" s="3" t="n"/>
      <c r="F17" s="3" t="n"/>
      <c r="G17" s="3" t="n"/>
      <c r="H17" s="41" t="n"/>
    </row>
    <row r="18">
      <c r="C18" s="35" t="n"/>
      <c r="D18" s="3" t="n"/>
      <c r="E18" s="3" t="n"/>
      <c r="F18" s="3" t="n"/>
      <c r="G18" s="3" t="n"/>
      <c r="H18" s="41" t="n"/>
    </row>
    <row r="19">
      <c r="B19" s="40" t="n"/>
      <c r="C19" s="35" t="n"/>
      <c r="D19" s="3" t="n"/>
      <c r="E19" s="3" t="n"/>
      <c r="F19" s="3" t="n"/>
      <c r="G19" s="3" t="n"/>
      <c r="H19" s="41" t="n"/>
    </row>
    <row r="20">
      <c r="C20" s="35" t="n"/>
      <c r="D20" s="3" t="n"/>
      <c r="E20" s="3" t="n"/>
      <c r="F20" s="3" t="n"/>
      <c r="G20" s="3" t="n"/>
      <c r="H20" s="41" t="n"/>
    </row>
    <row r="21">
      <c r="C21" s="35" t="n"/>
      <c r="D21" s="3" t="n"/>
      <c r="E21" s="3" t="n"/>
      <c r="F21" s="3" t="n"/>
      <c r="G21" s="3" t="n"/>
      <c r="H21" s="41" t="n"/>
    </row>
    <row r="22">
      <c r="C22" s="35" t="n"/>
      <c r="D22" s="3" t="n"/>
      <c r="E22" s="3" t="n"/>
      <c r="F22" s="3" t="n"/>
      <c r="G22" s="3" t="n"/>
      <c r="H22" s="41" t="n"/>
    </row>
    <row r="23">
      <c r="B23" s="3" t="n"/>
      <c r="C23" s="15" t="n"/>
      <c r="D23" s="3" t="n"/>
      <c r="E23" s="3" t="n"/>
      <c r="F23" s="3" t="n"/>
      <c r="G23" s="3" t="n"/>
      <c r="H23" s="41" t="n"/>
    </row>
    <row r="24">
      <c r="B24" s="3" t="n"/>
      <c r="C24" s="15" t="n"/>
      <c r="D24" s="3" t="n"/>
      <c r="E24" s="3" t="n"/>
      <c r="F24" s="3" t="n"/>
      <c r="G24" s="3" t="n"/>
      <c r="H24" s="41" t="n"/>
    </row>
    <row r="25">
      <c r="B25" s="3" t="n"/>
      <c r="C25" s="15" t="n"/>
      <c r="D25" s="3" t="n"/>
      <c r="E25" s="3" t="n"/>
      <c r="F25" s="3" t="n"/>
      <c r="G25" s="3" t="n"/>
      <c r="H25" s="41" t="n"/>
    </row>
    <row r="26" ht="12.75" customHeight="1">
      <c r="B26" s="3" t="n"/>
      <c r="C26" s="15" t="n"/>
      <c r="D26" s="3" t="n"/>
      <c r="E26" s="3" t="n"/>
      <c r="F26" s="3" t="n"/>
      <c r="G26" s="3" t="n"/>
      <c r="H26" s="41" t="n"/>
    </row>
    <row r="27">
      <c r="B27" s="3" t="n"/>
      <c r="C27" s="15" t="n"/>
      <c r="D27" s="3" t="n"/>
      <c r="E27" s="3" t="n"/>
      <c r="F27" s="3" t="n"/>
      <c r="G27" s="3" t="n"/>
      <c r="H27" s="41" t="n"/>
    </row>
    <row r="28">
      <c r="B28" s="3" t="n"/>
      <c r="C28" s="15" t="n"/>
      <c r="D28" s="3" t="n"/>
      <c r="E28" s="3" t="n"/>
      <c r="F28" s="3" t="n"/>
      <c r="G28" s="3" t="n"/>
      <c r="H28" s="41" t="n"/>
    </row>
    <row r="29">
      <c r="B29" s="3" t="n"/>
      <c r="C29" s="15" t="n"/>
      <c r="D29" s="3" t="n"/>
      <c r="E29" s="3" t="n"/>
      <c r="F29" s="3" t="n"/>
      <c r="G29" s="3" t="n"/>
      <c r="H29" s="41" t="n"/>
    </row>
    <row r="30">
      <c r="B30" s="3" t="n"/>
      <c r="C30" s="15" t="n"/>
      <c r="D30" s="3" t="n"/>
      <c r="E30" s="3" t="n"/>
      <c r="F30" s="3" t="n"/>
      <c r="G30" s="3" t="n"/>
      <c r="H30" s="41" t="n"/>
    </row>
    <row r="31">
      <c r="B31" s="3" t="n"/>
      <c r="C31" s="15" t="n"/>
      <c r="D31" s="3" t="n"/>
      <c r="E31" s="3" t="n"/>
      <c r="F31" s="3" t="n"/>
      <c r="G31" s="3" t="n"/>
      <c r="H31" s="41" t="n"/>
    </row>
    <row r="32">
      <c r="B32" s="3" t="n"/>
      <c r="C32" s="15" t="n"/>
      <c r="D32" s="3" t="n"/>
      <c r="E32" s="3" t="n"/>
      <c r="F32" s="3" t="n"/>
      <c r="G32" s="3" t="n"/>
      <c r="H32" s="41" t="n"/>
    </row>
    <row r="33">
      <c r="B33" s="3" t="n"/>
      <c r="C33" s="15" t="n"/>
      <c r="D33" s="3" t="n"/>
      <c r="E33" s="3" t="n"/>
      <c r="F33" s="3" t="n"/>
      <c r="G33" s="3" t="n"/>
      <c r="H33" s="41" t="n"/>
    </row>
  </sheetData>
  <mergeCells count="7">
    <mergeCell ref="E7:F7"/>
    <mergeCell ref="D7:D8"/>
    <mergeCell ref="C7:C8"/>
    <mergeCell ref="G7:G8"/>
    <mergeCell ref="B7:B8"/>
    <mergeCell ref="H7:H8"/>
    <mergeCell ref="A1:H1"/>
  </mergeCells>
  <dataValidations count="1">
    <dataValidation sqref="H9:H33" showDropDown="0" showInputMessage="1" showErrorMessage="1" allowBlank="1" type="list">
      <formula1>$G$2:$G$5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8" topLeftCell="A9" activePane="bottomLeft" state="frozen"/>
      <selection pane="bottomLeft" activeCell="A9" sqref="A9"/>
    </sheetView>
  </sheetViews>
  <sheetFormatPr baseColWidth="10" defaultColWidth="8.83203125" defaultRowHeight="13"/>
  <cols>
    <col width="0.6640625" customWidth="1" min="1" max="1"/>
    <col width="4.33203125" customWidth="1" min="2" max="2"/>
    <col width="10.5" bestFit="1" customWidth="1" style="11" min="3" max="3"/>
    <col width="40.5" customWidth="1" min="4" max="4"/>
    <col width="24.1640625" customWidth="1" min="5" max="5"/>
    <col width="21.6640625" customWidth="1" min="6" max="6"/>
    <col width="30.5" customWidth="1" min="7" max="7"/>
    <col width="7.33203125" bestFit="1" customWidth="1" style="11" min="8" max="8"/>
  </cols>
  <sheetData>
    <row r="1" ht="24" customHeight="1">
      <c r="A1" s="44" t="n"/>
      <c r="B1" s="56" t="inlineStr">
        <is>
          <t>BẢNG THEO DÕI VÀ QUẢN LÝ LỖI (DEFECT TRACKING LOG)</t>
        </is>
      </c>
    </row>
    <row r="2" ht="14" customHeight="1">
      <c r="B2" s="16" t="n"/>
      <c r="G2" s="12" t="n"/>
      <c r="H2" s="9" t="n"/>
    </row>
    <row r="3">
      <c r="B3" s="57" t="inlineStr">
        <is>
          <t>Defect ID</t>
        </is>
      </c>
      <c r="C3" s="57" t="inlineStr">
        <is>
          <t>Mô tả lỗi (Defect Description)</t>
        </is>
      </c>
      <c r="D3" s="57" t="inlineStr">
        <is>
          <t>Mức độ (Severity)</t>
        </is>
      </c>
      <c r="E3" s="57" t="inlineStr">
        <is>
          <t>Các bước tái hiện (Steps to Reproduce)</t>
        </is>
      </c>
      <c r="F3" s="57" t="inlineStr">
        <is>
          <t>Kết quả thực tế (Actual)</t>
        </is>
      </c>
      <c r="G3" s="58" t="inlineStr">
        <is>
          <t>Kết quả kỳ vọng (Expected)</t>
        </is>
      </c>
      <c r="H3" s="59" t="inlineStr">
        <is>
          <t>Trạng thái (Status)</t>
        </is>
      </c>
      <c r="I3" s="57" t="inlineStr">
        <is>
          <t>Người sửa (Assignee)</t>
        </is>
      </c>
    </row>
    <row r="4">
      <c r="B4" t="inlineStr">
        <is>
          <t>BUG_001</t>
        </is>
      </c>
      <c r="C4" s="13" t="inlineStr">
        <is>
          <t>Chấp nhận chỉ số công tơ là số âm (-50)</t>
        </is>
      </c>
      <c r="D4" t="inlineStr">
        <is>
          <t>High</t>
        </is>
      </c>
      <c r="E4" t="inlineStr">
        <is>
          <t>Nhập Cũ = -50, Mới = 100, bấm Tính</t>
        </is>
      </c>
      <c r="F4" t="inlineStr">
        <is>
          <t>Hệ thống vẫn tính ra 150 kWh</t>
        </is>
      </c>
      <c r="G4" s="12" t="inlineStr">
        <is>
          <t>Phải chặn và báo lỗi 'Chỉ số cũ không được âm'</t>
        </is>
      </c>
      <c r="H4" s="60" t="inlineStr">
        <is>
          <t>Closed (Đã sửa)</t>
        </is>
      </c>
      <c r="I4" t="inlineStr">
        <is>
          <t>Developer</t>
        </is>
      </c>
    </row>
    <row r="5">
      <c r="B5" t="inlineStr">
        <is>
          <t>BUG_002</t>
        </is>
      </c>
      <c r="C5" t="inlineStr">
        <is>
          <t>Chấp nhận chỉ số thập phân (100.5 kWh)</t>
        </is>
      </c>
      <c r="D5" t="inlineStr">
        <is>
          <t>Medium</t>
        </is>
      </c>
      <c r="E5" t="inlineStr">
        <is>
          <t>Nhập Cũ = 100.5, Mới = 200, bấm Tính</t>
        </is>
      </c>
      <c r="F5" t="inlineStr">
        <is>
          <t>Tiền điện ra số lẻ thập phân</t>
        </is>
      </c>
      <c r="G5" s="12" t="inlineStr">
        <is>
          <t>Phải chặn và yêu cầu số nguyên</t>
        </is>
      </c>
      <c r="H5" s="60" t="inlineStr">
        <is>
          <t>Closed (Đã sửa)</t>
        </is>
      </c>
      <c r="I5" t="inlineStr">
        <is>
          <t>Developer</t>
        </is>
      </c>
    </row>
    <row r="6">
      <c r="B6" t="inlineStr">
        <is>
          <t>BUG_003</t>
        </is>
      </c>
      <c r="C6" t="inlineStr">
        <is>
          <t>Chỉ số mới &lt; Chỉ số cũ hệ thống tính tiền âm</t>
        </is>
      </c>
      <c r="D6" t="inlineStr">
        <is>
          <t>High</t>
        </is>
      </c>
      <c r="E6" t="inlineStr">
        <is>
          <t>Nhập Cũ = 500, Mới = 300, bấm Tính</t>
        </is>
      </c>
      <c r="F6" t="inlineStr">
        <is>
          <t>Tiền ra số âm</t>
        </is>
      </c>
      <c r="G6" s="12" t="inlineStr">
        <is>
          <t>Phải báo lỗi 'Chỉ số mới không được nhỏ hơn chỉ số cũ'</t>
        </is>
      </c>
      <c r="H6" s="60" t="inlineStr">
        <is>
          <t>Closed (Đã sửa)</t>
        </is>
      </c>
      <c r="I6" t="inlineStr">
        <is>
          <t>Developer</t>
        </is>
      </c>
    </row>
    <row r="7">
      <c r="B7" s="8" t="inlineStr">
        <is>
          <t>BUG_004</t>
        </is>
      </c>
      <c r="C7" s="8" t="inlineStr">
        <is>
          <t>Tiền thuế VAT không được làm tròn số nguyên đồng</t>
        </is>
      </c>
      <c r="D7" s="8" t="inlineStr">
        <is>
          <t>Low</t>
        </is>
      </c>
      <c r="E7" s="8" t="inlineStr">
        <is>
          <t>Nhập Cũ = 0, Mới = 1 (VAT 8% = 158.72 đ)</t>
        </is>
      </c>
      <c r="F7" t="inlineStr">
        <is>
          <t>Hiển thị 158.72 đ</t>
        </is>
      </c>
      <c r="G7" s="8" t="inlineStr">
        <is>
          <t>Phải làm tròn Math.round thành 159 đ theo quy chuẩn tài chính</t>
        </is>
      </c>
      <c r="H7" s="61" t="inlineStr">
        <is>
          <t>Closed (Đã sửa)</t>
        </is>
      </c>
      <c r="I7" t="inlineStr">
        <is>
          <t>Developer</t>
        </is>
      </c>
    </row>
    <row r="8" ht="14" customHeight="1">
      <c r="B8" t="inlineStr">
        <is>
          <t>BUG_005</t>
        </is>
      </c>
      <c r="C8" t="inlineStr">
        <is>
          <t>Trường hợp tiêu thụ 0 kWh bảng bậc thang bị lỗi</t>
        </is>
      </c>
      <c r="D8" t="inlineStr">
        <is>
          <t>Medium</t>
        </is>
      </c>
      <c r="E8" s="8" t="inlineStr">
        <is>
          <t>Nhập Cũ = 200, Mới = 200, bấm Tính</t>
        </is>
      </c>
      <c r="F8" s="8" t="inlineStr">
        <is>
          <t>Bảng bậc thang bị lỗi render</t>
        </is>
      </c>
      <c r="G8" t="inlineStr">
        <is>
          <t>Hiển thị 0 kWh và bảng các bậc dùng 0 kWh, tổng tiền 0 đ</t>
        </is>
      </c>
      <c r="H8" s="62" t="inlineStr">
        <is>
          <t>Closed (Đã sửa)</t>
        </is>
      </c>
      <c r="I8" t="inlineStr">
        <is>
          <t>Developer</t>
        </is>
      </c>
    </row>
    <row r="9" ht="12.75" customHeight="1">
      <c r="B9" s="40" t="n"/>
      <c r="C9" s="41" t="n"/>
      <c r="D9" s="42" t="n"/>
      <c r="E9" s="3" t="n"/>
      <c r="F9" s="3" t="n"/>
      <c r="G9" s="43" t="n"/>
      <c r="H9" s="41" t="n"/>
    </row>
    <row r="10">
      <c r="E10" s="3" t="n"/>
      <c r="F10" s="3" t="n"/>
    </row>
    <row r="11">
      <c r="E11" s="3" t="n"/>
      <c r="F11" s="3" t="n"/>
    </row>
    <row r="12">
      <c r="C12" s="35" t="n"/>
      <c r="D12" s="3" t="n"/>
      <c r="E12" s="3" t="n"/>
      <c r="F12" s="3" t="n"/>
      <c r="G12" s="3" t="n"/>
      <c r="H12" s="41" t="n"/>
    </row>
    <row r="13">
      <c r="C13" s="35" t="n"/>
      <c r="D13" s="3" t="n"/>
      <c r="E13" s="3" t="n"/>
      <c r="F13" s="3" t="n"/>
      <c r="G13" s="3" t="n"/>
      <c r="H13" s="41" t="n"/>
    </row>
    <row r="14">
      <c r="B14" s="40" t="n"/>
      <c r="C14" s="35" t="n"/>
      <c r="D14" s="3" t="n"/>
      <c r="E14" s="3" t="n"/>
      <c r="F14" s="3" t="n"/>
      <c r="G14" s="3" t="n"/>
      <c r="H14" s="41" t="n"/>
    </row>
    <row r="15">
      <c r="C15" s="35" t="n"/>
      <c r="D15" s="3" t="n"/>
      <c r="E15" s="3" t="n"/>
      <c r="F15" s="3" t="n"/>
      <c r="G15" s="3" t="n"/>
      <c r="H15" s="41" t="n"/>
    </row>
    <row r="16" ht="12.75" customHeight="1">
      <c r="C16" s="35" t="n"/>
      <c r="D16" s="3" t="n"/>
      <c r="E16" s="3" t="n"/>
      <c r="F16" s="3" t="n"/>
      <c r="G16" s="3" t="n"/>
      <c r="H16" s="41" t="n"/>
    </row>
    <row r="17">
      <c r="C17" s="35" t="n"/>
      <c r="D17" s="3" t="n"/>
      <c r="E17" s="3" t="n"/>
      <c r="F17" s="3" t="n"/>
      <c r="G17" s="3" t="n"/>
      <c r="H17" s="41" t="n"/>
    </row>
    <row r="18">
      <c r="C18" s="35" t="n"/>
      <c r="D18" s="3" t="n"/>
      <c r="E18" s="3" t="n"/>
      <c r="F18" s="3" t="n"/>
      <c r="G18" s="3" t="n"/>
      <c r="H18" s="41" t="n"/>
    </row>
    <row r="19">
      <c r="B19" s="40" t="n"/>
      <c r="C19" s="35" t="n"/>
      <c r="D19" s="3" t="n"/>
      <c r="E19" s="3" t="n"/>
      <c r="F19" s="3" t="n"/>
      <c r="G19" s="3" t="n"/>
      <c r="H19" s="41" t="n"/>
    </row>
    <row r="20">
      <c r="C20" s="35" t="n"/>
      <c r="D20" s="3" t="n"/>
      <c r="E20" s="3" t="n"/>
      <c r="F20" s="3" t="n"/>
      <c r="G20" s="3" t="n"/>
      <c r="H20" s="41" t="n"/>
    </row>
    <row r="21">
      <c r="C21" s="35" t="n"/>
      <c r="D21" s="3" t="n"/>
      <c r="E21" s="3" t="n"/>
      <c r="F21" s="3" t="n"/>
      <c r="G21" s="3" t="n"/>
      <c r="H21" s="41" t="n"/>
    </row>
    <row r="22">
      <c r="C22" s="35" t="n"/>
      <c r="D22" s="3" t="n"/>
      <c r="E22" s="3" t="n"/>
      <c r="F22" s="3" t="n"/>
      <c r="G22" s="3" t="n"/>
      <c r="H22" s="41" t="n"/>
    </row>
    <row r="23">
      <c r="B23" s="3" t="n"/>
      <c r="C23" s="15" t="n"/>
      <c r="D23" s="3" t="n"/>
      <c r="E23" s="3" t="n"/>
      <c r="F23" s="3" t="n"/>
      <c r="G23" s="3" t="n"/>
      <c r="H23" s="41" t="n"/>
    </row>
    <row r="24">
      <c r="B24" s="3" t="n"/>
      <c r="C24" s="15" t="n"/>
      <c r="D24" s="3" t="n"/>
      <c r="E24" s="3" t="n"/>
      <c r="F24" s="3" t="n"/>
      <c r="G24" s="3" t="n"/>
      <c r="H24" s="41" t="n"/>
    </row>
    <row r="25">
      <c r="B25" s="3" t="n"/>
      <c r="C25" s="15" t="n"/>
      <c r="D25" s="3" t="n"/>
      <c r="E25" s="3" t="n"/>
      <c r="F25" s="3" t="n"/>
      <c r="G25" s="3" t="n"/>
      <c r="H25" s="41" t="n"/>
    </row>
    <row r="26" ht="12.75" customHeight="1">
      <c r="B26" s="3" t="n"/>
      <c r="C26" s="15" t="n"/>
      <c r="D26" s="3" t="n"/>
      <c r="E26" s="3" t="n"/>
      <c r="F26" s="3" t="n"/>
      <c r="G26" s="3" t="n"/>
      <c r="H26" s="41" t="n"/>
    </row>
    <row r="27">
      <c r="B27" s="3" t="n"/>
      <c r="C27" s="15" t="n"/>
      <c r="D27" s="3" t="n"/>
      <c r="E27" s="3" t="n"/>
      <c r="F27" s="3" t="n"/>
      <c r="G27" s="3" t="n"/>
      <c r="H27" s="41" t="n"/>
    </row>
    <row r="28">
      <c r="B28" s="3" t="n"/>
      <c r="C28" s="15" t="n"/>
      <c r="D28" s="3" t="n"/>
      <c r="E28" s="3" t="n"/>
      <c r="F28" s="3" t="n"/>
      <c r="G28" s="3" t="n"/>
      <c r="H28" s="41" t="n"/>
    </row>
    <row r="29">
      <c r="B29" s="3" t="n"/>
      <c r="C29" s="15" t="n"/>
      <c r="D29" s="3" t="n"/>
      <c r="E29" s="3" t="n"/>
      <c r="F29" s="3" t="n"/>
      <c r="G29" s="3" t="n"/>
      <c r="H29" s="41" t="n"/>
    </row>
    <row r="30">
      <c r="B30" s="3" t="n"/>
      <c r="C30" s="15" t="n"/>
      <c r="D30" s="3" t="n"/>
      <c r="E30" s="3" t="n"/>
      <c r="F30" s="3" t="n"/>
      <c r="G30" s="3" t="n"/>
      <c r="H30" s="41" t="n"/>
    </row>
    <row r="31">
      <c r="B31" s="3" t="n"/>
      <c r="C31" s="15" t="n"/>
      <c r="D31" s="3" t="n"/>
      <c r="E31" s="3" t="n"/>
      <c r="F31" s="3" t="n"/>
      <c r="G31" s="3" t="n"/>
      <c r="H31" s="41" t="n"/>
    </row>
    <row r="32">
      <c r="B32" s="3" t="n"/>
      <c r="C32" s="15" t="n"/>
      <c r="D32" s="3" t="n"/>
      <c r="E32" s="3" t="n"/>
      <c r="F32" s="3" t="n"/>
      <c r="G32" s="3" t="n"/>
      <c r="H32" s="41" t="n"/>
    </row>
    <row r="33">
      <c r="B33" s="3" t="n"/>
      <c r="C33" s="15" t="n"/>
      <c r="D33" s="3" t="n"/>
      <c r="E33" s="3" t="n"/>
      <c r="F33" s="3" t="n"/>
      <c r="G33" s="3" t="n"/>
      <c r="H33" s="41" t="n"/>
    </row>
    <row r="34"/>
    <row r="35"/>
    <row r="36"/>
    <row r="37"/>
    <row r="38"/>
    <row r="39"/>
  </sheetData>
  <dataValidations count="1">
    <dataValidation sqref="H9:H33" showDropDown="0" showInputMessage="1" showErrorMessage="1" allowBlank="1" type="list">
      <formula1>$G$2:$G$5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DuChu</dc:creator>
  <dc:subject xmlns:dc="http://purl.org/dc/elements/1.1/">Test Case Template</dc:subject>
  <dcterms:created xmlns:dcterms="http://purl.org/dc/terms/" xmlns:xsi="http://www.w3.org/2001/XMLSchema-instance" xsi:type="dcterms:W3CDTF">2001-08-15T13:11:45Z</dcterms:created>
  <dcterms:modified xmlns:dcterms="http://purl.org/dc/terms/" xmlns:xsi="http://www.w3.org/2001/XMLSchema-instance" xsi:type="dcterms:W3CDTF">2026-10-02T13:06:21Z</dcterms:modified>
  <cp:lastModifiedBy>Mai Xuan Trang</cp:lastModifiedBy>
  <cp:lastPrinted>2002-11-06T09:49:41Z</cp:lastPrinted>
</cp:coreProperties>
</file>

<file path=docProps/custom.xml><?xml version="1.0" encoding="utf-8"?>
<Properties xmlns="http://schemas.openxmlformats.org/officeDocument/2006/custom-properties">
  <property name="Department" fmtid="{D5CDD505-2E9C-101B-9397-08002B2CF9AE}" pid="2">
    <vt:lpwstr xmlns:vt="http://schemas.openxmlformats.org/officeDocument/2006/docPropsVTypes">Quality Control</vt:lpwstr>
  </property>
  <property name="Owner" fmtid="{D5CDD505-2E9C-101B-9397-08002B2CF9AE}" pid="3">
    <vt:lpwstr xmlns:vt="http://schemas.openxmlformats.org/officeDocument/2006/docPropsVTypes">DuChu</vt:lpwstr>
  </property>
  <property name="ContentTypeId" fmtid="{D5CDD505-2E9C-101B-9397-08002B2CF9AE}" pid="4">
    <vt:lpwstr xmlns:vt="http://schemas.openxmlformats.org/officeDocument/2006/docPropsVTypes">0x0101009064D6C488808240A931504663625519</vt:lpwstr>
  </property>
</Properties>
</file>